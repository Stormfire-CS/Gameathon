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ink/ink1.xml" ContentType="application/inkml+xml"/>
  <Override PartName="/xl/ink/ink2.xml" ContentType="application/inkml+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10" documentId="8_{90C88CE8-1B19-4139-93E2-A9FBF7AB4D03}" xr6:coauthVersionLast="47" xr6:coauthVersionMax="47" xr10:uidLastSave="{A7EA3760-BC70-446B-B467-149C439E476C}"/>
  <bookViews>
    <workbookView xWindow="38280" yWindow="-9765" windowWidth="29040" windowHeight="15720" tabRatio="415" activeTab="2"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7" i="16" l="1"/>
  <c r="F25" i="16"/>
  <c r="F22" i="16"/>
  <c r="F12" i="16"/>
  <c r="F13" i="16" s="1"/>
  <c r="F14" i="16" s="1"/>
  <c r="F15" i="16" s="1"/>
  <c r="F16" i="16" s="1"/>
  <c r="F17" i="16" s="1"/>
  <c r="F18" i="16" s="1"/>
  <c r="F19" i="16" s="1"/>
  <c r="F20" i="16" s="1"/>
  <c r="F21" i="16" s="1"/>
  <c r="F23" i="16" s="1"/>
  <c r="F24" i="16" s="1"/>
  <c r="F26" i="16" s="1"/>
  <c r="F13" i="18"/>
  <c r="F12" i="18"/>
  <c r="F13" i="17"/>
  <c r="F12" i="17"/>
  <c r="F18" i="17" s="1"/>
  <c r="F19" i="17" s="1"/>
  <c r="F20" i="17" s="1"/>
  <c r="F21" i="17" s="1"/>
  <c r="F24" i="18" l="1"/>
  <c r="F25" i="18" s="1"/>
  <c r="F26" i="18" s="1"/>
  <c r="F15" i="18"/>
  <c r="F18" i="18"/>
  <c r="F19" i="18" s="1"/>
  <c r="F20" i="18" s="1"/>
  <c r="F21" i="18" s="1"/>
  <c r="F16" i="18"/>
  <c r="F28" i="18" s="1"/>
  <c r="F14" i="18"/>
  <c r="F27" i="17"/>
  <c r="F30" i="17" s="1"/>
  <c r="F31" i="17" s="1"/>
  <c r="F32" i="17" s="1"/>
  <c r="F22" i="17"/>
  <c r="F14" i="17"/>
  <c r="F15" i="17"/>
  <c r="F16" i="17"/>
  <c r="F28" i="17" s="1"/>
  <c r="F24" i="17"/>
  <c r="F25" i="17" s="1"/>
  <c r="F26" i="17" s="1"/>
  <c r="F27" i="18" l="1"/>
  <c r="F30" i="18" s="1"/>
  <c r="F31" i="18" s="1"/>
  <c r="F32" i="18" s="1"/>
  <c r="F22" i="18"/>
  <c r="C6" i="17" a="1"/>
  <c r="C6" i="17" s="1"/>
  <c r="I7" i="17" s="1"/>
  <c r="I35" i="17" s="1"/>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4" i="17"/>
  <c r="P34" i="18"/>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1" i="17"/>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4" i="17" l="1"/>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l="1"/>
  <c r="X33" i="17"/>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21" i="17" l="1"/>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3" i="17" l="1"/>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5" i="17" l="1"/>
  <c r="AA20" i="17"/>
  <c r="AA34" i="17"/>
  <c r="AA22" i="17"/>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21" i="17" l="1"/>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4" i="17" l="1"/>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19" i="17" l="1"/>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0" i="17" l="1"/>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23" i="17" l="1"/>
  <c r="AF12" i="17"/>
  <c r="AF13" i="17"/>
  <c r="AF16" i="17"/>
  <c r="AF28" i="17"/>
  <c r="AF31" i="17"/>
  <c r="AF35" i="17"/>
  <c r="AG7" i="17"/>
  <c r="AG33" i="17" s="1"/>
  <c r="AF17" i="17"/>
  <c r="AF22" i="17"/>
  <c r="AF32" i="17"/>
  <c r="AF24" i="17"/>
  <c r="AF15" i="17"/>
  <c r="AF29" i="17"/>
  <c r="AF9" i="17"/>
  <c r="AF21" i="17"/>
  <c r="AF33" i="17"/>
  <c r="AF14" i="17"/>
  <c r="AF19" i="17"/>
  <c r="AF27" i="17"/>
  <c r="AF34" i="17"/>
  <c r="AF11" i="17"/>
  <c r="AF20" i="17"/>
  <c r="AF26" i="17"/>
  <c r="AF18" i="17"/>
  <c r="AF25"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14" i="17" l="1"/>
  <c r="AG28" i="17"/>
  <c r="AG29" i="17"/>
  <c r="AG16" i="17"/>
  <c r="AG17" i="17"/>
  <c r="AG26" i="17"/>
  <c r="AG19" i="17"/>
  <c r="AG24" i="17"/>
  <c r="AG27" i="17"/>
  <c r="AH7" i="17"/>
  <c r="AH34" i="17" s="1"/>
  <c r="AG11" i="17"/>
  <c r="AG32" i="17"/>
  <c r="AG20" i="17"/>
  <c r="AG15" i="17"/>
  <c r="AG12" i="17"/>
  <c r="AG9" i="17"/>
  <c r="AG35" i="17"/>
  <c r="AG30" i="17"/>
  <c r="AG21" i="17"/>
  <c r="AG18" i="17"/>
  <c r="AG34" i="17"/>
  <c r="AG31" i="17"/>
  <c r="AG22" i="17"/>
  <c r="AG25" i="17"/>
  <c r="AG13" i="17"/>
  <c r="AG23"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2" i="17" l="1"/>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12" i="17" l="1"/>
  <c r="AI13" i="17"/>
  <c r="AI15" i="17"/>
  <c r="AI24" i="17"/>
  <c r="AI17" i="17"/>
  <c r="AI21" i="17"/>
  <c r="AI28" i="17"/>
  <c r="AI22" i="17"/>
  <c r="AI30" i="17"/>
  <c r="AI31" i="17"/>
  <c r="AI32" i="17"/>
  <c r="AI34" i="17"/>
  <c r="AI14" i="17"/>
  <c r="AI19" i="17"/>
  <c r="AJ7" i="17"/>
  <c r="AJ28" i="17" s="1"/>
  <c r="AI18" i="17"/>
  <c r="AI33" i="17"/>
  <c r="AI9" i="17"/>
  <c r="AI23" i="17"/>
  <c r="AI35" i="17"/>
  <c r="AI20" i="17"/>
  <c r="AI11" i="17"/>
  <c r="AI25" i="17"/>
  <c r="AI26" i="17"/>
  <c r="AI29"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5" i="17" l="1"/>
  <c r="AJ34" i="17"/>
  <c r="AJ33" i="17"/>
  <c r="AJ19" i="17"/>
  <c r="AJ13" i="17"/>
  <c r="AJ9" i="17"/>
  <c r="AJ23" i="17"/>
  <c r="AJ32" i="17"/>
  <c r="AJ11" i="17"/>
  <c r="AJ22" i="17"/>
  <c r="AJ26" i="17"/>
  <c r="AJ12" i="17"/>
  <c r="AJ30" i="17"/>
  <c r="AJ27" i="17"/>
  <c r="AK7" i="17"/>
  <c r="AK29" i="17" s="1"/>
  <c r="AJ31" i="17"/>
  <c r="AJ24" i="17"/>
  <c r="AJ15" i="17"/>
  <c r="AJ20" i="17"/>
  <c r="AJ25" i="17"/>
  <c r="AJ16" i="17"/>
  <c r="AJ29" i="17"/>
  <c r="AJ17" i="17"/>
  <c r="AJ18" i="17"/>
  <c r="AJ21" i="17"/>
  <c r="AJ14"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6" i="17" l="1"/>
  <c r="AK12" i="17"/>
  <c r="AK17" i="17"/>
  <c r="AK9" i="17"/>
  <c r="AK11" i="17"/>
  <c r="AK23" i="17"/>
  <c r="AK26" i="17"/>
  <c r="AK22" i="17"/>
  <c r="AK32" i="17"/>
  <c r="AK34" i="17"/>
  <c r="AK19" i="17"/>
  <c r="AK24" i="17"/>
  <c r="AK15" i="17"/>
  <c r="AK25" i="17"/>
  <c r="AK30" i="17"/>
  <c r="AL7" i="17"/>
  <c r="AL35" i="17" s="1"/>
  <c r="AK27" i="17"/>
  <c r="AK13" i="17"/>
  <c r="AK33" i="17"/>
  <c r="AK35" i="17"/>
  <c r="AK20" i="17"/>
  <c r="AK16" i="17"/>
  <c r="AK31" i="17"/>
  <c r="AK18" i="17"/>
  <c r="AK28" i="17"/>
  <c r="AK21" i="17"/>
  <c r="AK14" i="17"/>
  <c r="AJ34" i="18"/>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19" i="17" l="1"/>
  <c r="AL24" i="17"/>
  <c r="AL25" i="17"/>
  <c r="AL9" i="17"/>
  <c r="AL18" i="17"/>
  <c r="AL22" i="17"/>
  <c r="AL23" i="17"/>
  <c r="AL26" i="17"/>
  <c r="AM7" i="17"/>
  <c r="AM18" i="17" s="1"/>
  <c r="AL17" i="17"/>
  <c r="AL13" i="17"/>
  <c r="AL14" i="17"/>
  <c r="AL15" i="17"/>
  <c r="AL28" i="17"/>
  <c r="AL29" i="17"/>
  <c r="AL30" i="17"/>
  <c r="AL31" i="17"/>
  <c r="AL32" i="17"/>
  <c r="AL11" i="17"/>
  <c r="AL27" i="17"/>
  <c r="AL12" i="17"/>
  <c r="AL16" i="17"/>
  <c r="AL33" i="17"/>
  <c r="AL20" i="17"/>
  <c r="AL34" i="17"/>
  <c r="AL21" i="17"/>
  <c r="AK29" i="18"/>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12" i="17" l="1"/>
  <c r="AN7" i="17"/>
  <c r="AN20" i="17" s="1"/>
  <c r="AM23" i="17"/>
  <c r="AM28" i="17"/>
  <c r="AM19" i="17"/>
  <c r="AM22" i="17"/>
  <c r="AM26" i="17"/>
  <c r="AM27" i="17"/>
  <c r="AM31" i="17"/>
  <c r="AM32" i="17"/>
  <c r="AM30" i="17"/>
  <c r="AM14" i="17"/>
  <c r="AM9" i="17"/>
  <c r="AM11" i="17"/>
  <c r="AM15" i="17"/>
  <c r="AM24" i="17"/>
  <c r="AM25" i="17"/>
  <c r="AM33" i="17"/>
  <c r="AM34" i="17"/>
  <c r="AM35" i="17"/>
  <c r="AM13" i="17"/>
  <c r="AM16" i="17"/>
  <c r="AM17" i="17"/>
  <c r="AM21" i="17"/>
  <c r="AM20" i="17"/>
  <c r="AM29" i="17"/>
  <c r="AL35" i="18"/>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21" i="17" l="1"/>
  <c r="AN9" i="17"/>
  <c r="AN27" i="17"/>
  <c r="AN16" i="17"/>
  <c r="AN13" i="17"/>
  <c r="AO7" i="17"/>
  <c r="AO19" i="17" s="1"/>
  <c r="AN17" i="17"/>
  <c r="AN29" i="17"/>
  <c r="AN26" i="17"/>
  <c r="AN28" i="17"/>
  <c r="AN30" i="17"/>
  <c r="AN31" i="17"/>
  <c r="AN34" i="17"/>
  <c r="AN22" i="17"/>
  <c r="AN32" i="17"/>
  <c r="AN11" i="17"/>
  <c r="AN14" i="17"/>
  <c r="AN18" i="17"/>
  <c r="AN23" i="17"/>
  <c r="AN33" i="17"/>
  <c r="AN12" i="17"/>
  <c r="AN25" i="17"/>
  <c r="AN19" i="17"/>
  <c r="AN35" i="17"/>
  <c r="AN24" i="17"/>
  <c r="AN15" i="17"/>
  <c r="AM21" i="18"/>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21" i="17" l="1"/>
  <c r="AO11" i="17"/>
  <c r="AO24" i="17"/>
  <c r="AO15" i="17"/>
  <c r="AO20" i="17"/>
  <c r="AO26" i="17"/>
  <c r="AO34" i="17"/>
  <c r="AO27" i="17"/>
  <c r="AO28" i="17"/>
  <c r="AO29" i="17"/>
  <c r="AO31" i="17"/>
  <c r="AO12" i="17"/>
  <c r="AP7" i="17"/>
  <c r="AP28" i="17" s="1"/>
  <c r="AO13" i="17"/>
  <c r="AO32" i="17"/>
  <c r="AO33" i="17"/>
  <c r="AO17" i="17"/>
  <c r="AO14" i="17"/>
  <c r="AO35" i="17"/>
  <c r="AO16" i="17"/>
  <c r="AO9" i="17"/>
  <c r="AO25" i="17"/>
  <c r="AO22" i="17"/>
  <c r="AO18" i="17"/>
  <c r="AO23" i="17"/>
  <c r="AO30" i="17"/>
  <c r="AN15" i="18"/>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35" i="17" l="1"/>
  <c r="AP34" i="17"/>
  <c r="AP33" i="17"/>
  <c r="AP32" i="17"/>
  <c r="AP20" i="17"/>
  <c r="AP11" i="17"/>
  <c r="AQ7" i="17"/>
  <c r="AQ27" i="17" s="1"/>
  <c r="AP13" i="17"/>
  <c r="AP15" i="17"/>
  <c r="AP14" i="17"/>
  <c r="AP16" i="17"/>
  <c r="AP17" i="17"/>
  <c r="AP21" i="17"/>
  <c r="AP18" i="17"/>
  <c r="AP31" i="17"/>
  <c r="AP22" i="17"/>
  <c r="AP19" i="17"/>
  <c r="AP30" i="17"/>
  <c r="AP24" i="17"/>
  <c r="AP26" i="17"/>
  <c r="AP27" i="17"/>
  <c r="AP9" i="17"/>
  <c r="AP29" i="17"/>
  <c r="AP23" i="17"/>
  <c r="AP25" i="17"/>
  <c r="AP12" i="17"/>
  <c r="AO16" i="18"/>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28" i="17" l="1"/>
  <c r="AQ13" i="17"/>
  <c r="AQ14" i="17"/>
  <c r="AQ12" i="17"/>
  <c r="AQ32" i="17"/>
  <c r="AQ31" i="17"/>
  <c r="AQ33" i="17"/>
  <c r="AQ35" i="17"/>
  <c r="AQ15" i="17"/>
  <c r="AQ17" i="17"/>
  <c r="AQ29" i="17"/>
  <c r="AQ20" i="17"/>
  <c r="AQ16" i="17"/>
  <c r="AQ21" i="17"/>
  <c r="AQ18" i="17"/>
  <c r="AQ22" i="17"/>
  <c r="AQ30" i="17"/>
  <c r="AR7" i="17"/>
  <c r="AR31" i="17" s="1"/>
  <c r="AQ34" i="17"/>
  <c r="AQ9" i="17"/>
  <c r="AQ23" i="17"/>
  <c r="AQ11" i="17"/>
  <c r="AQ25" i="17"/>
  <c r="AQ24" i="17"/>
  <c r="AQ26" i="17"/>
  <c r="AQ19" i="17"/>
  <c r="AQ7" i="18"/>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34" i="17" l="1"/>
  <c r="AR35" i="17"/>
  <c r="AS7" i="17"/>
  <c r="AS35" i="17" s="1"/>
  <c r="AR12" i="17"/>
  <c r="AR25" i="17"/>
  <c r="AR23" i="17"/>
  <c r="AR24" i="17"/>
  <c r="AR20" i="17"/>
  <c r="AR15" i="17"/>
  <c r="AR32" i="17"/>
  <c r="AR33" i="17"/>
  <c r="AR13" i="17"/>
  <c r="AR16" i="17"/>
  <c r="AR17" i="17"/>
  <c r="AR14" i="17"/>
  <c r="AR28" i="17"/>
  <c r="AR19" i="17"/>
  <c r="AR29" i="17"/>
  <c r="AR27" i="17"/>
  <c r="AR18" i="17"/>
  <c r="AR6" i="17"/>
  <c r="AR21" i="17"/>
  <c r="AR22" i="17"/>
  <c r="AR26" i="17"/>
  <c r="AR9" i="17"/>
  <c r="AR30" i="17"/>
  <c r="AR11" i="17"/>
  <c r="AQ17" i="18"/>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12" i="17" l="1"/>
  <c r="AS16" i="17"/>
  <c r="AS13" i="17"/>
  <c r="AS18" i="17"/>
  <c r="AS9" i="17"/>
  <c r="AS15" i="17"/>
  <c r="AS20" i="17"/>
  <c r="AS27" i="17"/>
  <c r="AS30" i="17"/>
  <c r="AS32" i="17"/>
  <c r="AS34" i="17"/>
  <c r="AS28" i="17"/>
  <c r="AS29" i="17"/>
  <c r="AS25" i="17"/>
  <c r="AT7" i="17"/>
  <c r="AT18" i="17" s="1"/>
  <c r="AS31" i="17"/>
  <c r="AS17" i="17"/>
  <c r="AS33" i="17"/>
  <c r="AS14" i="17"/>
  <c r="AS11" i="17"/>
  <c r="AS21" i="17"/>
  <c r="AS26" i="17"/>
  <c r="AS22" i="17"/>
  <c r="AS23" i="17"/>
  <c r="AS19" i="17"/>
  <c r="AS24" i="17"/>
  <c r="AR6" i="18"/>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11" i="17" l="1"/>
  <c r="AT15" i="17"/>
  <c r="AT22" i="17"/>
  <c r="AT23" i="17"/>
  <c r="AT26" i="17"/>
  <c r="AT19" i="17"/>
  <c r="AT24" i="17"/>
  <c r="AU7" i="17"/>
  <c r="AU25" i="17" s="1"/>
  <c r="AT28" i="17"/>
  <c r="AT12" i="17"/>
  <c r="AT29" i="17"/>
  <c r="AT16" i="17"/>
  <c r="AT30" i="17"/>
  <c r="AT17" i="17"/>
  <c r="AT31" i="17"/>
  <c r="AT20" i="17"/>
  <c r="AT32" i="17"/>
  <c r="AT14" i="17"/>
  <c r="AT34" i="17"/>
  <c r="AT21" i="17"/>
  <c r="AT35" i="17"/>
  <c r="AT25" i="17"/>
  <c r="AT9" i="17"/>
  <c r="AT27" i="17"/>
  <c r="AT13" i="17"/>
  <c r="AT33" i="17"/>
  <c r="AS17" i="18"/>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12" i="17" l="1"/>
  <c r="AU19" i="17"/>
  <c r="AU24" i="17"/>
  <c r="AU22" i="17"/>
  <c r="AU18" i="17"/>
  <c r="AU23" i="17"/>
  <c r="AU29" i="17"/>
  <c r="AU26" i="17"/>
  <c r="AU27" i="17"/>
  <c r="AU30" i="17"/>
  <c r="AU31" i="17"/>
  <c r="AU11" i="17"/>
  <c r="AU15" i="17"/>
  <c r="AU14" i="17"/>
  <c r="AU32" i="17"/>
  <c r="AU9" i="17"/>
  <c r="AV7" i="17"/>
  <c r="AV30" i="17" s="1"/>
  <c r="AU13" i="17"/>
  <c r="AU33" i="17"/>
  <c r="AU20" i="17"/>
  <c r="AU34" i="17"/>
  <c r="AU28" i="17"/>
  <c r="AU35" i="17"/>
  <c r="AU16" i="17"/>
  <c r="AU17" i="17"/>
  <c r="AU21" i="17"/>
  <c r="AT15" i="18"/>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34" i="17" l="1"/>
  <c r="AV35" i="17"/>
  <c r="AV22" i="17"/>
  <c r="AW7" i="17"/>
  <c r="AW31" i="17" s="1"/>
  <c r="AV20" i="17"/>
  <c r="AV24" i="17"/>
  <c r="AV16" i="17"/>
  <c r="AV31" i="17"/>
  <c r="AV12" i="17"/>
  <c r="AV19" i="17"/>
  <c r="AV15" i="17"/>
  <c r="AV17" i="17"/>
  <c r="AV32" i="17"/>
  <c r="AV33" i="17"/>
  <c r="AV21" i="17"/>
  <c r="AV13" i="17"/>
  <c r="AV25" i="17"/>
  <c r="AV23" i="17"/>
  <c r="AV27" i="17"/>
  <c r="AV14" i="17"/>
  <c r="AV28" i="17"/>
  <c r="AV9" i="17"/>
  <c r="AV29" i="17"/>
  <c r="AV11" i="17"/>
  <c r="AV26" i="17"/>
  <c r="AV18" i="17"/>
  <c r="AU19" i="18"/>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25" i="17" l="1"/>
  <c r="AX7" i="17"/>
  <c r="AX33" i="17" s="1"/>
  <c r="AW13" i="17"/>
  <c r="AW15" i="17"/>
  <c r="AW20" i="17"/>
  <c r="AW30" i="17"/>
  <c r="AW35" i="17"/>
  <c r="AW27" i="17"/>
  <c r="AW32" i="17"/>
  <c r="AW21" i="17"/>
  <c r="AW19" i="17"/>
  <c r="AW24" i="17"/>
  <c r="AW28" i="17"/>
  <c r="AW29" i="17"/>
  <c r="AW12" i="17"/>
  <c r="AW34" i="17"/>
  <c r="AW14" i="17"/>
  <c r="AW16" i="17"/>
  <c r="AW33" i="17"/>
  <c r="AW17" i="17"/>
  <c r="AW9" i="17"/>
  <c r="AW11" i="17"/>
  <c r="AW23" i="17"/>
  <c r="AW18" i="17"/>
  <c r="AW22" i="17"/>
  <c r="AW26" i="17"/>
  <c r="AV26" i="18"/>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X35" i="17" l="1"/>
  <c r="AX34" i="17"/>
  <c r="AX16" i="17"/>
  <c r="AX17" i="17"/>
  <c r="AX21" i="17"/>
  <c r="AX18" i="17"/>
  <c r="AX23" i="17"/>
  <c r="AX24" i="17"/>
  <c r="AX25" i="17"/>
  <c r="AX27" i="17"/>
  <c r="AY7" i="17"/>
  <c r="AY33" i="17" s="1"/>
  <c r="AX28" i="17"/>
  <c r="AX30" i="17"/>
  <c r="AX15" i="17"/>
  <c r="AX31" i="17"/>
  <c r="AX32" i="17"/>
  <c r="AX22" i="17"/>
  <c r="AX19" i="17"/>
  <c r="AX11" i="17"/>
  <c r="AX9" i="17"/>
  <c r="AX26" i="17"/>
  <c r="AX12" i="17"/>
  <c r="AX29" i="17"/>
  <c r="AX13" i="17"/>
  <c r="AX20" i="17"/>
  <c r="AX14" i="17"/>
  <c r="AW14" i="18"/>
  <c r="AW17" i="18"/>
  <c r="AW18" i="18"/>
  <c r="AW16" i="18"/>
  <c r="AW29" i="18"/>
  <c r="AW25" i="18"/>
  <c r="AW12" i="18"/>
  <c r="AW20" i="18"/>
  <c r="AW24" i="18"/>
  <c r="AW15" i="18"/>
  <c r="AW30" i="18"/>
  <c r="AW26" i="18"/>
  <c r="AW31" i="18"/>
  <c r="AW33" i="18"/>
  <c r="AW22" i="18"/>
  <c r="AX7" i="18"/>
  <c r="AX31" i="18" s="1"/>
  <c r="AW21" i="18"/>
  <c r="AW32" i="18"/>
  <c r="AW11" i="18"/>
  <c r="AW27" i="18"/>
  <c r="AW34" i="18"/>
  <c r="AW9" i="18"/>
  <c r="AW13" i="18"/>
  <c r="AW19" i="18"/>
  <c r="AW23" i="18"/>
  <c r="AW35" i="18"/>
  <c r="AY35" i="17" l="1"/>
  <c r="AY6" i="17"/>
  <c r="AY9" i="17"/>
  <c r="AY11" i="17"/>
  <c r="AY24" i="17"/>
  <c r="AY25" i="17"/>
  <c r="AZ7" i="17"/>
  <c r="AZ24" i="17" s="1"/>
  <c r="AY20" i="17"/>
  <c r="AY16" i="17"/>
  <c r="AY17" i="17"/>
  <c r="AY21" i="17"/>
  <c r="AY28" i="17"/>
  <c r="AY18" i="17"/>
  <c r="AY34" i="17"/>
  <c r="AY22" i="17"/>
  <c r="AY23" i="17"/>
  <c r="AY14" i="17"/>
  <c r="AY26" i="17"/>
  <c r="AY19" i="17"/>
  <c r="AY27" i="17"/>
  <c r="AY13" i="17"/>
  <c r="AY32" i="17"/>
  <c r="AY12" i="17"/>
  <c r="AY30" i="17"/>
  <c r="AY29" i="17"/>
  <c r="AY31" i="17"/>
  <c r="AY15" i="17"/>
  <c r="AX30" i="18"/>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11" i="17" l="1"/>
  <c r="AZ25" i="17"/>
  <c r="AZ16" i="17"/>
  <c r="AZ17" i="17"/>
  <c r="AZ21" i="17"/>
  <c r="AZ26" i="17"/>
  <c r="AZ28" i="17"/>
  <c r="AZ29" i="17"/>
  <c r="AZ30" i="17"/>
  <c r="AZ31" i="17"/>
  <c r="AZ32" i="17"/>
  <c r="AZ18" i="17"/>
  <c r="AZ13" i="17"/>
  <c r="AZ33" i="17"/>
  <c r="AZ14" i="17"/>
  <c r="AZ19" i="17"/>
  <c r="AZ23" i="17"/>
  <c r="AZ9" i="17"/>
  <c r="AZ34" i="17"/>
  <c r="AZ22" i="17"/>
  <c r="BA7" i="17"/>
  <c r="BA24" i="17" s="1"/>
  <c r="AZ12" i="17"/>
  <c r="AZ15" i="17"/>
  <c r="AZ20" i="17"/>
  <c r="AZ27" i="17"/>
  <c r="AZ35" i="17"/>
  <c r="AY15" i="18"/>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BA30" i="17" l="1"/>
  <c r="BA32" i="17"/>
  <c r="BA34" i="17"/>
  <c r="BA25" i="17"/>
  <c r="BA29" i="17"/>
  <c r="BA18" i="17"/>
  <c r="BA21" i="17"/>
  <c r="BA14" i="17"/>
  <c r="BA35" i="17"/>
  <c r="BA28" i="17"/>
  <c r="BB7" i="17"/>
  <c r="BB19" i="17" s="1"/>
  <c r="BA17" i="17"/>
  <c r="BA13" i="17"/>
  <c r="BA9" i="17"/>
  <c r="BA11" i="17"/>
  <c r="BA22" i="17"/>
  <c r="BA23" i="17"/>
  <c r="BA26" i="17"/>
  <c r="BA15" i="17"/>
  <c r="BA20" i="17"/>
  <c r="BA27" i="17"/>
  <c r="BA16" i="17"/>
  <c r="BA31" i="17"/>
  <c r="BA12" i="17"/>
  <c r="BA33" i="17"/>
  <c r="BA19" i="17"/>
  <c r="AZ28" i="18"/>
  <c r="AZ22" i="18"/>
  <c r="AZ35" i="18"/>
  <c r="AZ21" i="18"/>
  <c r="AZ33" i="18"/>
  <c r="AZ13" i="18"/>
  <c r="BA7" i="18"/>
  <c r="BA28" i="18" s="1"/>
  <c r="AZ18" i="18"/>
  <c r="AZ14" i="18"/>
  <c r="AZ24" i="18"/>
  <c r="AZ26" i="18"/>
  <c r="AZ34" i="18"/>
  <c r="AZ12" i="18"/>
  <c r="AZ19" i="18"/>
  <c r="AZ23" i="18"/>
  <c r="AZ16" i="18"/>
  <c r="AZ15" i="18"/>
  <c r="AZ27" i="18"/>
  <c r="AZ9" i="18"/>
  <c r="AZ20" i="18"/>
  <c r="AZ30" i="18"/>
  <c r="AZ11" i="18"/>
  <c r="AZ29" i="18"/>
  <c r="AZ31" i="18"/>
  <c r="AZ17" i="18"/>
  <c r="AZ25" i="18"/>
  <c r="BB11" i="17" l="1"/>
  <c r="BB15" i="17"/>
  <c r="BB16" i="17"/>
  <c r="BB14" i="17"/>
  <c r="BB13" i="17"/>
  <c r="BB24" i="17"/>
  <c r="BB17" i="17"/>
  <c r="BB20" i="17"/>
  <c r="BB25" i="17"/>
  <c r="BB26" i="17"/>
  <c r="BB32" i="17"/>
  <c r="BB27" i="17"/>
  <c r="BB28" i="17"/>
  <c r="BB29" i="17"/>
  <c r="BB31" i="17"/>
  <c r="BB9" i="17"/>
  <c r="BB30" i="17"/>
  <c r="BC7" i="17"/>
  <c r="BC29" i="17" s="1"/>
  <c r="BB33" i="17"/>
  <c r="BB12" i="17"/>
  <c r="BB34" i="17"/>
  <c r="BA32" i="18"/>
  <c r="BB18" i="17"/>
  <c r="BB22" i="17"/>
  <c r="BA25" i="18"/>
  <c r="BA26" i="18"/>
  <c r="BB21" i="17"/>
  <c r="BB35" i="17"/>
  <c r="BA35" i="18"/>
  <c r="BB23" i="17"/>
  <c r="BA30" i="18"/>
  <c r="BA34" i="18"/>
  <c r="BA33" i="18"/>
  <c r="BA29" i="18"/>
  <c r="BA31" i="18"/>
  <c r="BA11" i="18"/>
  <c r="BA13" i="18"/>
  <c r="BA15" i="18"/>
  <c r="BA20" i="18"/>
  <c r="BA9" i="18"/>
  <c r="BA21" i="18"/>
  <c r="BA16" i="18"/>
  <c r="BA17" i="18"/>
  <c r="BA23" i="18"/>
  <c r="BA22" i="18"/>
  <c r="BA24" i="18"/>
  <c r="BA18" i="18"/>
  <c r="BA14" i="18"/>
  <c r="BA19" i="18"/>
  <c r="BB7" i="18"/>
  <c r="BB27" i="18" s="1"/>
  <c r="BA27" i="18"/>
  <c r="BA12" i="18"/>
  <c r="BC17" i="17" l="1"/>
  <c r="BC16" i="17"/>
  <c r="BC18" i="17"/>
  <c r="BC21" i="17"/>
  <c r="BC14" i="17"/>
  <c r="BC24" i="17"/>
  <c r="BC11" i="17"/>
  <c r="BC25" i="17"/>
  <c r="BC30" i="17"/>
  <c r="BC9" i="17"/>
  <c r="BC15" i="17"/>
  <c r="BC33" i="17"/>
  <c r="BC13" i="17"/>
  <c r="BC34" i="17"/>
  <c r="BC22" i="17"/>
  <c r="BC23" i="17"/>
  <c r="BC28" i="17"/>
  <c r="BC26" i="17"/>
  <c r="BC27" i="17"/>
  <c r="BD7" i="17"/>
  <c r="BD27" i="17" s="1"/>
  <c r="BC31" i="17"/>
  <c r="BC12" i="17"/>
  <c r="BC32" i="17"/>
  <c r="BC19" i="17"/>
  <c r="BC20" i="17"/>
  <c r="BC35" i="17"/>
  <c r="BB35" i="18"/>
  <c r="BB34" i="18"/>
  <c r="BB19" i="18"/>
  <c r="BC7" i="18"/>
  <c r="BC29" i="18" s="1"/>
  <c r="BB12" i="18"/>
  <c r="BB31" i="18"/>
  <c r="BB11" i="18"/>
  <c r="BB32" i="18"/>
  <c r="BB33" i="18"/>
  <c r="BB14" i="18"/>
  <c r="BB16" i="18"/>
  <c r="BB15" i="18"/>
  <c r="BB20" i="18"/>
  <c r="BB21" i="18"/>
  <c r="BB29" i="18"/>
  <c r="BB25" i="18"/>
  <c r="BB30" i="18"/>
  <c r="BB26" i="18"/>
  <c r="BB17" i="18"/>
  <c r="BB22" i="18"/>
  <c r="BB24" i="18"/>
  <c r="BB28" i="18"/>
  <c r="BB23" i="18"/>
  <c r="BB13" i="18"/>
  <c r="BB18" i="18"/>
  <c r="BB9" i="18"/>
  <c r="BD9" i="17" l="1"/>
  <c r="BD20" i="17"/>
  <c r="BD16" i="17"/>
  <c r="BD17" i="17"/>
  <c r="BD21" i="17"/>
  <c r="BD28" i="17"/>
  <c r="BD34" i="17"/>
  <c r="BD35" i="17"/>
  <c r="BD29" i="17"/>
  <c r="BD26" i="17"/>
  <c r="BD30" i="17"/>
  <c r="BD31" i="17"/>
  <c r="BD32" i="17"/>
  <c r="BD13" i="17"/>
  <c r="BD14" i="17"/>
  <c r="BD22" i="17"/>
  <c r="BD33" i="17"/>
  <c r="BD11" i="17"/>
  <c r="BD18" i="17"/>
  <c r="BD23" i="17"/>
  <c r="BE7" i="17"/>
  <c r="BE19" i="17" s="1"/>
  <c r="BD12" i="17"/>
  <c r="BD19" i="17"/>
  <c r="BD24" i="17"/>
  <c r="BD25" i="17"/>
  <c r="BD15" i="17"/>
  <c r="BC31" i="18"/>
  <c r="BC30" i="18"/>
  <c r="BC32" i="18"/>
  <c r="BC33" i="18"/>
  <c r="BC34" i="18"/>
  <c r="BC35" i="18"/>
  <c r="BC9" i="18"/>
  <c r="BC13" i="18"/>
  <c r="BC15" i="18"/>
  <c r="BC19" i="18"/>
  <c r="BC14" i="18"/>
  <c r="BC20" i="18"/>
  <c r="BC21" i="18"/>
  <c r="BC16" i="18"/>
  <c r="BC17" i="18"/>
  <c r="BC25" i="18"/>
  <c r="BC26" i="18"/>
  <c r="BC22" i="18"/>
  <c r="BC27" i="18"/>
  <c r="BC18" i="18"/>
  <c r="BC24" i="18"/>
  <c r="BC23" i="18"/>
  <c r="BD7" i="18"/>
  <c r="BD22" i="18" s="1"/>
  <c r="BC11" i="18"/>
  <c r="BC28" i="18"/>
  <c r="BC12" i="18"/>
  <c r="BE30" i="17" l="1"/>
  <c r="BE15" i="17"/>
  <c r="BE20" i="17"/>
  <c r="BE26" i="17"/>
  <c r="BE27" i="17"/>
  <c r="BE24" i="17"/>
  <c r="BE28" i="17"/>
  <c r="BE29" i="17"/>
  <c r="BE25" i="17"/>
  <c r="BE34" i="17"/>
  <c r="BE12" i="17"/>
  <c r="BE17" i="17"/>
  <c r="BE21" i="17"/>
  <c r="BE13" i="17"/>
  <c r="BE14" i="17"/>
  <c r="BF7" i="17"/>
  <c r="BF29" i="17" s="1"/>
  <c r="BE16" i="17"/>
  <c r="BE9" i="17"/>
  <c r="BE31" i="17"/>
  <c r="BE11" i="17"/>
  <c r="BE33" i="17"/>
  <c r="BE18" i="17"/>
  <c r="BE35" i="17"/>
  <c r="BE22" i="17"/>
  <c r="BE23" i="17"/>
  <c r="BE32" i="17"/>
  <c r="BD35" i="18"/>
  <c r="BD34" i="18"/>
  <c r="BD13" i="18"/>
  <c r="BD11" i="18"/>
  <c r="BD14" i="18"/>
  <c r="BD31" i="18"/>
  <c r="BD29" i="18"/>
  <c r="BD12" i="18"/>
  <c r="BD9" i="18"/>
  <c r="BD18" i="18"/>
  <c r="BD32" i="18"/>
  <c r="BD33" i="18"/>
  <c r="BD28" i="18"/>
  <c r="BD20" i="18"/>
  <c r="BD27" i="18"/>
  <c r="BD19" i="18"/>
  <c r="BD15" i="18"/>
  <c r="BD23" i="18"/>
  <c r="BD30" i="18"/>
  <c r="BD24" i="18"/>
  <c r="BE7" i="18"/>
  <c r="BE22" i="18" s="1"/>
  <c r="BD16" i="18"/>
  <c r="BD26" i="18"/>
  <c r="BD25" i="18"/>
  <c r="BD21" i="18"/>
  <c r="BD17" i="18"/>
  <c r="BF35" i="17" l="1"/>
  <c r="BF34" i="17"/>
  <c r="BF33" i="17"/>
  <c r="BF32" i="17"/>
  <c r="BF31" i="17"/>
  <c r="BF13" i="17"/>
  <c r="BF9" i="17"/>
  <c r="BF30" i="17"/>
  <c r="BF16" i="17"/>
  <c r="BF15" i="17"/>
  <c r="BF14" i="17"/>
  <c r="BF17" i="17"/>
  <c r="BF21" i="17"/>
  <c r="BF25" i="17"/>
  <c r="BF18" i="17"/>
  <c r="BF22" i="17"/>
  <c r="BF23" i="17"/>
  <c r="BF19" i="17"/>
  <c r="BF11" i="17"/>
  <c r="BF24" i="17"/>
  <c r="BF20" i="17"/>
  <c r="BF26" i="17"/>
  <c r="BG7" i="17"/>
  <c r="BG21" i="17" s="1"/>
  <c r="BF27" i="17"/>
  <c r="BF12" i="17"/>
  <c r="BF28" i="17"/>
  <c r="BF6" i="17"/>
  <c r="BE17" i="18"/>
  <c r="BE32" i="18"/>
  <c r="BE18" i="18"/>
  <c r="BE30" i="18"/>
  <c r="BE21" i="18"/>
  <c r="BE26" i="18"/>
  <c r="BE34" i="18"/>
  <c r="BE16" i="18"/>
  <c r="BE27" i="18"/>
  <c r="BE19" i="18"/>
  <c r="BE15" i="18"/>
  <c r="BE12" i="18"/>
  <c r="BE28" i="18"/>
  <c r="BE9" i="18"/>
  <c r="BE25" i="18"/>
  <c r="BE11" i="18"/>
  <c r="BE33" i="18"/>
  <c r="BE14" i="18"/>
  <c r="BE23" i="18"/>
  <c r="BE13" i="18"/>
  <c r="BE29" i="18"/>
  <c r="BE24" i="18"/>
  <c r="BE31" i="18"/>
  <c r="BE20" i="18"/>
  <c r="BE35" i="18"/>
  <c r="BF7" i="18"/>
  <c r="BF26" i="18" s="1"/>
  <c r="BG31" i="17" l="1"/>
  <c r="BG32" i="17"/>
  <c r="BG33" i="17"/>
  <c r="BG14" i="17"/>
  <c r="BG9" i="17"/>
  <c r="BG11" i="17"/>
  <c r="BG24" i="17"/>
  <c r="BG19" i="17"/>
  <c r="BH7" i="17"/>
  <c r="BH27" i="17" s="1"/>
  <c r="BG25" i="17"/>
  <c r="BG26" i="17"/>
  <c r="BG27" i="17"/>
  <c r="BG30" i="17"/>
  <c r="BG13" i="17"/>
  <c r="BG15" i="17"/>
  <c r="BG12" i="17"/>
  <c r="BG29" i="17"/>
  <c r="BG34" i="17"/>
  <c r="BG28" i="17"/>
  <c r="BG18" i="17"/>
  <c r="BG22" i="17"/>
  <c r="BG23" i="17"/>
  <c r="BG20" i="17"/>
  <c r="BG35" i="17"/>
  <c r="BG16" i="17"/>
  <c r="BG17" i="17"/>
  <c r="BF22" i="18"/>
  <c r="BF21" i="18"/>
  <c r="BF27" i="18"/>
  <c r="BF24" i="18"/>
  <c r="BF25" i="18"/>
  <c r="BF28" i="18"/>
  <c r="BF30" i="18"/>
  <c r="BF31" i="18"/>
  <c r="BF34" i="18"/>
  <c r="BF29" i="18"/>
  <c r="BF32" i="18"/>
  <c r="BF33" i="18"/>
  <c r="BF14" i="18"/>
  <c r="BF9" i="18"/>
  <c r="BF11" i="18"/>
  <c r="BF16" i="18"/>
  <c r="BF19" i="18"/>
  <c r="BG7" i="18"/>
  <c r="BG33" i="18" s="1"/>
  <c r="BF12" i="18"/>
  <c r="BF6" i="18"/>
  <c r="BF15" i="18"/>
  <c r="BF35" i="18"/>
  <c r="BF23" i="18"/>
  <c r="BF20" i="18"/>
  <c r="BF17" i="18"/>
  <c r="BF13" i="18"/>
  <c r="BF18" i="18"/>
  <c r="BH9" i="17" l="1"/>
  <c r="BH11" i="17"/>
  <c r="BH25" i="17"/>
  <c r="BH16" i="17"/>
  <c r="BH17" i="17"/>
  <c r="BH21" i="17"/>
  <c r="BH28" i="17"/>
  <c r="BH26" i="17"/>
  <c r="BH29" i="17"/>
  <c r="BH30" i="17"/>
  <c r="BH18" i="17"/>
  <c r="BH31" i="17"/>
  <c r="BH13" i="17"/>
  <c r="BH14" i="17"/>
  <c r="BH32" i="17"/>
  <c r="BH19" i="17"/>
  <c r="BH22" i="17"/>
  <c r="BI7" i="17"/>
  <c r="BI24" i="17" s="1"/>
  <c r="BH33" i="17"/>
  <c r="BH12" i="17"/>
  <c r="BH34" i="17"/>
  <c r="BH23" i="17"/>
  <c r="BH35" i="17"/>
  <c r="BH24" i="17"/>
  <c r="BH15" i="17"/>
  <c r="BH20" i="17"/>
  <c r="BG15" i="18"/>
  <c r="BG21" i="18"/>
  <c r="BG11" i="18"/>
  <c r="BG13" i="18"/>
  <c r="BG17" i="18"/>
  <c r="BG14" i="18"/>
  <c r="BG19" i="18"/>
  <c r="BG20" i="18"/>
  <c r="BG16" i="18"/>
  <c r="BG24" i="18"/>
  <c r="BG22" i="18"/>
  <c r="BG23" i="18"/>
  <c r="BG26" i="18"/>
  <c r="BG27" i="18"/>
  <c r="BG35" i="18"/>
  <c r="BG28" i="18"/>
  <c r="BG29" i="18"/>
  <c r="BG30" i="18"/>
  <c r="BG25" i="18"/>
  <c r="BG9" i="18"/>
  <c r="BG34" i="18"/>
  <c r="BH7" i="18"/>
  <c r="BH30" i="18" s="1"/>
  <c r="BG12" i="18"/>
  <c r="BG32" i="18"/>
  <c r="BG31" i="18"/>
  <c r="BG18" i="18"/>
  <c r="BI13" i="17" l="1"/>
  <c r="BI26" i="17"/>
  <c r="BI33" i="17"/>
  <c r="BI31" i="17"/>
  <c r="BI35" i="17"/>
  <c r="BI9" i="17"/>
  <c r="BI11" i="17"/>
  <c r="BI18" i="17"/>
  <c r="BI22" i="17"/>
  <c r="BI23" i="17"/>
  <c r="BI28" i="17"/>
  <c r="BI14" i="17"/>
  <c r="BI21" i="17"/>
  <c r="BI29" i="17"/>
  <c r="BI25" i="17"/>
  <c r="BI19" i="17"/>
  <c r="BI15" i="17"/>
  <c r="BI20" i="17"/>
  <c r="BJ7" i="17"/>
  <c r="BJ29" i="17" s="1"/>
  <c r="BI27" i="17"/>
  <c r="BI16" i="17"/>
  <c r="BI32" i="17"/>
  <c r="BI30" i="17"/>
  <c r="BI17" i="17"/>
  <c r="BI12" i="17"/>
  <c r="BI34" i="17"/>
  <c r="BH18" i="18"/>
  <c r="BH29" i="18"/>
  <c r="BH13" i="18"/>
  <c r="BH24" i="18"/>
  <c r="BH19" i="18"/>
  <c r="BH20" i="18"/>
  <c r="BH28" i="18"/>
  <c r="BH25" i="18"/>
  <c r="BH12" i="18"/>
  <c r="BH32" i="18"/>
  <c r="BH31" i="18"/>
  <c r="BH15" i="18"/>
  <c r="BH21" i="18"/>
  <c r="BH26" i="18"/>
  <c r="BH14" i="18"/>
  <c r="BH33" i="18"/>
  <c r="BH17" i="18"/>
  <c r="BH34" i="18"/>
  <c r="BH11" i="18"/>
  <c r="BH35" i="18"/>
  <c r="BH22" i="18"/>
  <c r="BH16" i="18"/>
  <c r="BH23" i="18"/>
  <c r="BI7" i="18"/>
  <c r="BI19" i="18" s="1"/>
  <c r="BH27" i="18"/>
  <c r="BH9" i="18"/>
  <c r="BI33" i="18" l="1"/>
  <c r="BJ18" i="17"/>
  <c r="BJ22" i="17"/>
  <c r="BJ23" i="17"/>
  <c r="BJ19" i="17"/>
  <c r="BJ32" i="17"/>
  <c r="BJ35" i="17"/>
  <c r="BI34" i="18"/>
  <c r="BJ24" i="17"/>
  <c r="BJ30" i="17"/>
  <c r="BJ33" i="17"/>
  <c r="BJ17" i="17"/>
  <c r="BJ34" i="17"/>
  <c r="BJ13" i="17"/>
  <c r="BI25" i="18"/>
  <c r="BJ21" i="17"/>
  <c r="BI26" i="18"/>
  <c r="BJ26" i="17"/>
  <c r="BJ11" i="17"/>
  <c r="BJ31" i="17"/>
  <c r="BJ9" i="17"/>
  <c r="BJ16" i="17"/>
  <c r="BJ20" i="17"/>
  <c r="BJ14" i="17"/>
  <c r="BJ25" i="17"/>
  <c r="BI31" i="18"/>
  <c r="BJ28" i="17"/>
  <c r="BJ15" i="17"/>
  <c r="BJ27" i="17"/>
  <c r="BK7" i="17"/>
  <c r="BK29" i="17" s="1"/>
  <c r="BJ12" i="17"/>
  <c r="BI21" i="18"/>
  <c r="BI11" i="18"/>
  <c r="BI9" i="18"/>
  <c r="BI12" i="18"/>
  <c r="BI20" i="18"/>
  <c r="BI15" i="18"/>
  <c r="BI13" i="18"/>
  <c r="BI16" i="18"/>
  <c r="BI17" i="18"/>
  <c r="BI22" i="18"/>
  <c r="BI27" i="18"/>
  <c r="BI18" i="18"/>
  <c r="BI24" i="18"/>
  <c r="BI28" i="18"/>
  <c r="BI29" i="18"/>
  <c r="BI30" i="18"/>
  <c r="BJ7" i="18"/>
  <c r="BJ30" i="18" s="1"/>
  <c r="BI32" i="18"/>
  <c r="BI23" i="18"/>
  <c r="BI35" i="18"/>
  <c r="BI14" i="18"/>
  <c r="BK14" i="17" l="1"/>
  <c r="BK13" i="17"/>
  <c r="BK20" i="17"/>
  <c r="BK28" i="17"/>
  <c r="BK17" i="17"/>
  <c r="BK21" i="17"/>
  <c r="BK16" i="17"/>
  <c r="BK25" i="17"/>
  <c r="BK22" i="17"/>
  <c r="BK18" i="17"/>
  <c r="BK9" i="17"/>
  <c r="BK23" i="17"/>
  <c r="BK30" i="17"/>
  <c r="BK31" i="17"/>
  <c r="BK32" i="17"/>
  <c r="BK12" i="17"/>
  <c r="BK33" i="17"/>
  <c r="BK19" i="17"/>
  <c r="BK34" i="17"/>
  <c r="BK24" i="17"/>
  <c r="BK35" i="17"/>
  <c r="BK11" i="17"/>
  <c r="BK26" i="17"/>
  <c r="BK15" i="17"/>
  <c r="BK27" i="17"/>
  <c r="BL7" i="17"/>
  <c r="BL20" i="17" s="1"/>
  <c r="BJ20" i="18"/>
  <c r="BJ21" i="18"/>
  <c r="BJ17" i="18"/>
  <c r="BJ22" i="18"/>
  <c r="BJ18" i="18"/>
  <c r="BJ29" i="18"/>
  <c r="BJ25" i="18"/>
  <c r="BJ31" i="18"/>
  <c r="BJ13" i="18"/>
  <c r="BJ33" i="18"/>
  <c r="BJ32" i="18"/>
  <c r="BJ14" i="18"/>
  <c r="BJ16" i="18"/>
  <c r="BJ35" i="18"/>
  <c r="BJ23" i="18"/>
  <c r="BJ26" i="18"/>
  <c r="BJ12" i="18"/>
  <c r="BJ34" i="18"/>
  <c r="BJ15" i="18"/>
  <c r="BJ9" i="18"/>
  <c r="BJ27" i="18"/>
  <c r="BJ24" i="18"/>
  <c r="BJ11" i="18"/>
  <c r="BK7" i="18"/>
  <c r="BK27" i="18" s="1"/>
  <c r="BJ28" i="18"/>
  <c r="BJ19" i="18"/>
  <c r="BK35" i="18" l="1"/>
  <c r="BL21" i="17"/>
  <c r="BL25" i="17"/>
  <c r="BL17" i="17"/>
  <c r="BL28" i="17"/>
  <c r="BL26" i="17"/>
  <c r="BL29" i="17"/>
  <c r="BL27" i="17"/>
  <c r="BL14" i="17"/>
  <c r="BL23" i="17"/>
  <c r="BL33" i="17"/>
  <c r="BL13" i="17"/>
  <c r="BL32" i="17"/>
  <c r="BL9" i="17"/>
  <c r="BL11" i="17"/>
  <c r="BL22" i="17"/>
  <c r="BL12" i="17"/>
  <c r="BL30" i="17"/>
  <c r="BL31" i="17"/>
  <c r="BL18" i="17"/>
  <c r="BL16" i="17"/>
  <c r="BL19" i="17"/>
  <c r="BL24" i="17"/>
  <c r="BL35" i="17"/>
  <c r="BK33" i="18"/>
  <c r="BL34" i="17"/>
  <c r="BL15" i="17"/>
  <c r="BK34" i="18"/>
  <c r="BK30" i="18"/>
  <c r="BK31" i="18"/>
  <c r="BK32" i="18"/>
  <c r="BK9" i="18"/>
  <c r="BK12" i="18"/>
  <c r="BK28" i="18"/>
  <c r="BK11" i="18"/>
  <c r="BL7" i="18"/>
  <c r="BL25" i="18" s="1"/>
  <c r="BK29" i="18"/>
  <c r="BK19" i="18"/>
  <c r="BK15" i="18"/>
  <c r="BK14" i="18"/>
  <c r="BK25" i="18"/>
  <c r="BK17" i="18"/>
  <c r="BK24" i="18"/>
  <c r="BK20" i="18"/>
  <c r="BK21" i="18"/>
  <c r="BK16" i="18"/>
  <c r="BK22" i="18"/>
  <c r="BK26" i="18"/>
  <c r="BK13" i="18"/>
  <c r="BK23" i="18"/>
  <c r="BK18" i="18"/>
  <c r="BL22" i="18" l="1"/>
  <c r="BL26" i="18"/>
  <c r="BL27" i="18"/>
  <c r="BL23" i="18"/>
  <c r="BL29" i="18"/>
  <c r="BL34" i="18"/>
  <c r="BL30" i="18"/>
  <c r="BL31" i="18"/>
  <c r="BL32" i="18"/>
  <c r="BL21" i="18"/>
  <c r="BL33" i="18"/>
  <c r="BL35" i="18"/>
  <c r="BL12" i="18"/>
  <c r="BL13" i="18"/>
  <c r="BL17" i="18"/>
  <c r="BL9" i="18"/>
  <c r="BL16" i="18"/>
  <c r="BL11" i="18"/>
  <c r="BL14" i="18"/>
  <c r="BL28" i="18"/>
  <c r="BL18" i="18"/>
  <c r="BL19" i="18"/>
  <c r="BL15" i="18"/>
  <c r="BL24" i="18"/>
  <c r="BL20" i="18"/>
  <c r="I7" i="16" l="1"/>
  <c r="I18" i="16" l="1"/>
  <c r="I20" i="16"/>
  <c r="I22" i="16"/>
  <c r="I24" i="16"/>
  <c r="I26" i="16"/>
  <c r="I28" i="16"/>
  <c r="I30" i="16"/>
  <c r="I32" i="16"/>
  <c r="I34" i="16"/>
  <c r="I27" i="16"/>
  <c r="I19" i="16"/>
  <c r="I21" i="16"/>
  <c r="I31" i="16"/>
  <c r="I29" i="16"/>
  <c r="I25" i="16"/>
  <c r="I33" i="16"/>
  <c r="I23" i="16"/>
  <c r="I12" i="16"/>
  <c r="I6" i="16"/>
  <c r="I13" i="16"/>
  <c r="I15" i="16"/>
  <c r="I16" i="16"/>
  <c r="I17" i="16"/>
  <c r="I9" i="16"/>
  <c r="I35" i="16"/>
  <c r="J7" i="16"/>
  <c r="I11" i="16"/>
  <c r="I14" i="16"/>
  <c r="J18" i="16" l="1"/>
  <c r="J20" i="16"/>
  <c r="J22" i="16"/>
  <c r="J24" i="16"/>
  <c r="J34" i="16"/>
  <c r="J27" i="16"/>
  <c r="J32" i="16"/>
  <c r="J21" i="16"/>
  <c r="J26" i="16"/>
  <c r="J28" i="16"/>
  <c r="J31" i="16"/>
  <c r="J30" i="16"/>
  <c r="J29" i="16"/>
  <c r="J25" i="16"/>
  <c r="J19" i="16"/>
  <c r="J33" i="16"/>
  <c r="J23" i="16"/>
  <c r="J14" i="16"/>
  <c r="J11" i="16"/>
  <c r="J12" i="16"/>
  <c r="J15" i="16"/>
  <c r="J17" i="16"/>
  <c r="J13" i="16"/>
  <c r="J35" i="16"/>
  <c r="J9" i="16"/>
  <c r="K7" i="16"/>
  <c r="J16" i="16"/>
  <c r="K18" i="16" l="1"/>
  <c r="K33" i="16"/>
  <c r="K34" i="16"/>
  <c r="K32" i="16"/>
  <c r="K21" i="16"/>
  <c r="K24" i="16"/>
  <c r="K26" i="16"/>
  <c r="K28" i="16"/>
  <c r="K23" i="16"/>
  <c r="K22" i="16"/>
  <c r="K31" i="16"/>
  <c r="K27" i="16"/>
  <c r="K30" i="16"/>
  <c r="K29" i="16"/>
  <c r="K25" i="16"/>
  <c r="K19" i="16"/>
  <c r="K20" i="16"/>
  <c r="K14" i="16"/>
  <c r="K16" i="16"/>
  <c r="K9" i="16"/>
  <c r="L7" i="16"/>
  <c r="K17" i="16"/>
  <c r="K35" i="16"/>
  <c r="K13" i="16"/>
  <c r="K11" i="16"/>
  <c r="K12" i="16"/>
  <c r="K15" i="16"/>
  <c r="L30" i="16" l="1"/>
  <c r="L25" i="16"/>
  <c r="L33" i="16"/>
  <c r="L18" i="16"/>
  <c r="L32" i="16"/>
  <c r="L21" i="16"/>
  <c r="L24" i="16"/>
  <c r="L26" i="16"/>
  <c r="L28" i="16"/>
  <c r="L23" i="16"/>
  <c r="L22" i="16"/>
  <c r="L31" i="16"/>
  <c r="L27" i="16"/>
  <c r="L19" i="16"/>
  <c r="L20" i="16"/>
  <c r="L29" i="16"/>
  <c r="L34" i="16"/>
  <c r="L17" i="16"/>
  <c r="L12" i="16"/>
  <c r="L16" i="16"/>
  <c r="L9" i="16"/>
  <c r="L35" i="16"/>
  <c r="L13" i="16"/>
  <c r="L11" i="16"/>
  <c r="M7" i="16"/>
  <c r="L14" i="16"/>
  <c r="L15" i="16"/>
  <c r="M32" i="16" l="1"/>
  <c r="M25" i="16"/>
  <c r="M23" i="16"/>
  <c r="M29" i="16"/>
  <c r="M33" i="16"/>
  <c r="M18" i="16"/>
  <c r="M19" i="16"/>
  <c r="M28" i="16"/>
  <c r="M22" i="16"/>
  <c r="M30" i="16"/>
  <c r="M31" i="16"/>
  <c r="M21" i="16"/>
  <c r="M20" i="16"/>
  <c r="M26" i="16"/>
  <c r="M27" i="16"/>
  <c r="M24" i="16"/>
  <c r="M34" i="16"/>
  <c r="M9" i="16"/>
  <c r="M15" i="16"/>
  <c r="M13" i="16"/>
  <c r="N7" i="16"/>
  <c r="M11" i="16"/>
  <c r="M12" i="16"/>
  <c r="M17" i="16"/>
  <c r="M16" i="16"/>
  <c r="M14" i="16"/>
  <c r="M35" i="16"/>
  <c r="N26" i="16" l="1"/>
  <c r="N33" i="16"/>
  <c r="N19" i="16"/>
  <c r="N22" i="16"/>
  <c r="N31" i="16"/>
  <c r="N23" i="16"/>
  <c r="N29" i="16"/>
  <c r="N18" i="16"/>
  <c r="N32" i="16"/>
  <c r="N28" i="16"/>
  <c r="N25" i="16"/>
  <c r="N21" i="16"/>
  <c r="N20" i="16"/>
  <c r="N27" i="16"/>
  <c r="N30" i="16"/>
  <c r="N34" i="16"/>
  <c r="N24" i="16"/>
  <c r="N35" i="16"/>
  <c r="N14" i="16"/>
  <c r="N11" i="16"/>
  <c r="N12" i="16"/>
  <c r="N9" i="16"/>
  <c r="O7" i="16"/>
  <c r="N17" i="16"/>
  <c r="N15" i="16"/>
  <c r="N16" i="16"/>
  <c r="N13" i="16"/>
  <c r="O26" i="16" l="1"/>
  <c r="O19" i="16"/>
  <c r="O22" i="16"/>
  <c r="O31" i="16"/>
  <c r="O20" i="16"/>
  <c r="O34" i="16"/>
  <c r="O23" i="16"/>
  <c r="O29" i="16"/>
  <c r="O33" i="16"/>
  <c r="O18" i="16"/>
  <c r="O28" i="16"/>
  <c r="O24" i="16"/>
  <c r="O25" i="16"/>
  <c r="O21" i="16"/>
  <c r="O32" i="16"/>
  <c r="O27" i="16"/>
  <c r="O30" i="16"/>
  <c r="O35" i="16"/>
  <c r="O16" i="16"/>
  <c r="O9" i="16"/>
  <c r="P7" i="16"/>
  <c r="O13" i="16"/>
  <c r="O15" i="16"/>
  <c r="O12" i="16"/>
  <c r="O11" i="16"/>
  <c r="O17" i="16"/>
  <c r="O14" i="16"/>
  <c r="P29" i="16" l="1"/>
  <c r="P26" i="16"/>
  <c r="P30" i="16"/>
  <c r="P20" i="16"/>
  <c r="P34" i="16"/>
  <c r="P23" i="16"/>
  <c r="P33" i="16"/>
  <c r="P19" i="16"/>
  <c r="P18" i="16"/>
  <c r="P24" i="16"/>
  <c r="P28" i="16"/>
  <c r="P31" i="16"/>
  <c r="P25" i="16"/>
  <c r="P21" i="16"/>
  <c r="P22" i="16"/>
  <c r="P32" i="16"/>
  <c r="P27" i="16"/>
  <c r="P35" i="16"/>
  <c r="P14" i="16"/>
  <c r="P6" i="16"/>
  <c r="P12" i="16"/>
  <c r="P13" i="16"/>
  <c r="P15" i="16"/>
  <c r="P16" i="16"/>
  <c r="Q7" i="16"/>
  <c r="P9" i="16"/>
  <c r="P17" i="16"/>
  <c r="P11" i="16"/>
  <c r="Q19" i="16" l="1"/>
  <c r="Q21" i="16"/>
  <c r="Q23" i="16"/>
  <c r="Q25" i="16"/>
  <c r="Q27" i="16"/>
  <c r="Q29" i="16"/>
  <c r="Q31" i="16"/>
  <c r="Q33" i="16"/>
  <c r="Q26" i="16"/>
  <c r="Q30" i="16"/>
  <c r="Q20" i="16"/>
  <c r="Q34" i="16"/>
  <c r="Q18" i="16"/>
  <c r="Q24" i="16"/>
  <c r="Q28" i="16"/>
  <c r="Q22" i="16"/>
  <c r="Q32" i="16"/>
  <c r="Q9" i="16"/>
  <c r="Q13" i="16"/>
  <c r="Q14" i="16"/>
  <c r="R7" i="16"/>
  <c r="Q17" i="16"/>
  <c r="Q15" i="16"/>
  <c r="Q12" i="16"/>
  <c r="Q35" i="16"/>
  <c r="Q16" i="16"/>
  <c r="Q11" i="16"/>
  <c r="R19" i="16" l="1"/>
  <c r="R21" i="16"/>
  <c r="R23" i="16"/>
  <c r="R27" i="16"/>
  <c r="R28" i="16"/>
  <c r="R29" i="16"/>
  <c r="R20" i="16"/>
  <c r="R34" i="16"/>
  <c r="R18" i="16"/>
  <c r="R24" i="16"/>
  <c r="R31" i="16"/>
  <c r="R33" i="16"/>
  <c r="R25" i="16"/>
  <c r="R26" i="16"/>
  <c r="R22" i="16"/>
  <c r="R32" i="16"/>
  <c r="R30" i="16"/>
  <c r="R15" i="16"/>
  <c r="R35" i="16"/>
  <c r="R17" i="16"/>
  <c r="R14" i="16"/>
  <c r="R9" i="16"/>
  <c r="S7" i="16"/>
  <c r="R11" i="16"/>
  <c r="R12" i="16"/>
  <c r="R16" i="16"/>
  <c r="R13" i="16"/>
  <c r="S25" i="16" l="1"/>
  <c r="S32" i="16"/>
  <c r="S27" i="16"/>
  <c r="S28" i="16"/>
  <c r="S29" i="16"/>
  <c r="S24" i="16"/>
  <c r="S34" i="16"/>
  <c r="S19" i="16"/>
  <c r="S23" i="16"/>
  <c r="S30" i="16"/>
  <c r="S18" i="16"/>
  <c r="S31" i="16"/>
  <c r="S33" i="16"/>
  <c r="S20" i="16"/>
  <c r="S21" i="16"/>
  <c r="S26" i="16"/>
  <c r="S22" i="16"/>
  <c r="S13" i="16"/>
  <c r="S14" i="16"/>
  <c r="S15" i="16"/>
  <c r="S9" i="16"/>
  <c r="T7" i="16"/>
  <c r="S16" i="16"/>
  <c r="S35" i="16"/>
  <c r="S11" i="16"/>
  <c r="S12" i="16"/>
  <c r="S17" i="16"/>
  <c r="T24" i="16" l="1"/>
  <c r="T25" i="16"/>
  <c r="T20" i="16"/>
  <c r="T23" i="16"/>
  <c r="T29" i="16"/>
  <c r="T34" i="16"/>
  <c r="T19" i="16"/>
  <c r="T30" i="16"/>
  <c r="T18" i="16"/>
  <c r="T28" i="16"/>
  <c r="T31" i="16"/>
  <c r="T33" i="16"/>
  <c r="T21" i="16"/>
  <c r="T26" i="16"/>
  <c r="T22" i="16"/>
  <c r="T32" i="16"/>
  <c r="T27" i="16"/>
  <c r="T35" i="16"/>
  <c r="T11" i="16"/>
  <c r="T12" i="16"/>
  <c r="T13" i="16"/>
  <c r="T16" i="16"/>
  <c r="U7" i="16"/>
  <c r="T14" i="16"/>
  <c r="T15" i="16"/>
  <c r="T17" i="16"/>
  <c r="T9" i="16"/>
  <c r="U28" i="16" l="1"/>
  <c r="U24" i="16"/>
  <c r="U20" i="16"/>
  <c r="U23" i="16"/>
  <c r="U22" i="16"/>
  <c r="U27" i="16"/>
  <c r="U30" i="16"/>
  <c r="U34" i="16"/>
  <c r="U19" i="16"/>
  <c r="U18" i="16"/>
  <c r="U25" i="16"/>
  <c r="U31" i="16"/>
  <c r="U33" i="16"/>
  <c r="U29" i="16"/>
  <c r="U21" i="16"/>
  <c r="U26" i="16"/>
  <c r="U32" i="16"/>
  <c r="U14" i="16"/>
  <c r="U17" i="16"/>
  <c r="U35" i="16"/>
  <c r="U9" i="16"/>
  <c r="U16" i="16"/>
  <c r="U12" i="16"/>
  <c r="U15" i="16"/>
  <c r="U11" i="16"/>
  <c r="V7" i="16"/>
  <c r="U13" i="16"/>
  <c r="V22" i="16" l="1"/>
  <c r="V23" i="16"/>
  <c r="V25" i="16"/>
  <c r="V27" i="16"/>
  <c r="V30" i="16"/>
  <c r="V24" i="16"/>
  <c r="V34" i="16"/>
  <c r="V19" i="16"/>
  <c r="V32" i="16"/>
  <c r="V18" i="16"/>
  <c r="V28" i="16"/>
  <c r="V20" i="16"/>
  <c r="V31" i="16"/>
  <c r="V33" i="16"/>
  <c r="V29" i="16"/>
  <c r="V21" i="16"/>
  <c r="V26" i="16"/>
  <c r="V35" i="16"/>
  <c r="V15" i="16"/>
  <c r="V11" i="16"/>
  <c r="V14" i="16"/>
  <c r="V12" i="16"/>
  <c r="V9" i="16"/>
  <c r="V17" i="16"/>
  <c r="V16" i="16"/>
  <c r="W7" i="16"/>
  <c r="V13" i="16"/>
  <c r="W22" i="16" l="1"/>
  <c r="W23" i="16"/>
  <c r="W19" i="16"/>
  <c r="W25" i="16"/>
  <c r="W27" i="16"/>
  <c r="W30" i="16"/>
  <c r="W20" i="16"/>
  <c r="W24" i="16"/>
  <c r="W34" i="16"/>
  <c r="W32" i="16"/>
  <c r="W18" i="16"/>
  <c r="W28" i="16"/>
  <c r="W31" i="16"/>
  <c r="W33" i="16"/>
  <c r="W29" i="16"/>
  <c r="W21" i="16"/>
  <c r="W26" i="16"/>
  <c r="W35" i="16"/>
  <c r="W13" i="16"/>
  <c r="W17" i="16"/>
  <c r="W15" i="16"/>
  <c r="W6" i="16"/>
  <c r="X7" i="16"/>
  <c r="W9" i="16"/>
  <c r="W12" i="16"/>
  <c r="W14" i="16"/>
  <c r="W11" i="16"/>
  <c r="W16" i="16"/>
  <c r="X20" i="16" l="1"/>
  <c r="X21" i="16"/>
  <c r="X31" i="16"/>
  <c r="X19" i="16"/>
  <c r="X22" i="16"/>
  <c r="X25" i="16"/>
  <c r="X27" i="16"/>
  <c r="X30" i="16"/>
  <c r="X33" i="16"/>
  <c r="X23" i="16"/>
  <c r="X24" i="16"/>
  <c r="X34" i="16"/>
  <c r="X32" i="16"/>
  <c r="X18" i="16"/>
  <c r="X28" i="16"/>
  <c r="X29" i="16"/>
  <c r="X26" i="16"/>
  <c r="X12" i="16"/>
  <c r="X16" i="16"/>
  <c r="X11" i="16"/>
  <c r="X14" i="16"/>
  <c r="X17" i="16"/>
  <c r="X35" i="16"/>
  <c r="Y7" i="16"/>
  <c r="X13" i="16"/>
  <c r="X9" i="16"/>
  <c r="X15" i="16"/>
  <c r="Y18" i="16" l="1"/>
  <c r="Y20" i="16"/>
  <c r="Y22" i="16"/>
  <c r="Y24" i="16"/>
  <c r="Y26" i="16"/>
  <c r="Y28" i="16"/>
  <c r="Y30" i="16"/>
  <c r="Y32" i="16"/>
  <c r="Y34" i="16"/>
  <c r="Y21" i="16"/>
  <c r="Y19" i="16"/>
  <c r="Y25" i="16"/>
  <c r="Y33" i="16"/>
  <c r="Y23" i="16"/>
  <c r="Y27" i="16"/>
  <c r="Y31" i="16"/>
  <c r="Y29" i="16"/>
  <c r="Y35" i="16"/>
  <c r="Y16" i="16"/>
  <c r="Z7" i="16"/>
  <c r="Y11" i="16"/>
  <c r="Y12" i="16"/>
  <c r="Y15" i="16"/>
  <c r="Y17" i="16"/>
  <c r="Y13" i="16"/>
  <c r="Y9" i="16"/>
  <c r="Y14" i="16"/>
  <c r="Z18" i="16" l="1"/>
  <c r="Z20" i="16"/>
  <c r="Z22" i="16"/>
  <c r="Z24" i="16"/>
  <c r="Z19" i="16"/>
  <c r="Z27" i="16"/>
  <c r="Z33" i="16"/>
  <c r="Z30" i="16"/>
  <c r="Z34" i="16"/>
  <c r="Z32" i="16"/>
  <c r="Z28" i="16"/>
  <c r="Z25" i="16"/>
  <c r="Z31" i="16"/>
  <c r="Z21" i="16"/>
  <c r="Z29" i="16"/>
  <c r="Z23" i="16"/>
  <c r="Z26" i="16"/>
  <c r="Z35" i="16"/>
  <c r="Z9" i="16"/>
  <c r="Z12" i="16"/>
  <c r="Z14" i="16"/>
  <c r="Z11" i="16"/>
  <c r="Z13" i="16"/>
  <c r="Z15" i="16"/>
  <c r="Z17" i="16"/>
  <c r="Z16" i="16"/>
  <c r="AA7" i="16"/>
  <c r="AA34" i="16" l="1"/>
  <c r="AA19" i="16"/>
  <c r="AA20" i="16"/>
  <c r="AA27" i="16"/>
  <c r="AA31" i="16"/>
  <c r="AA22" i="16"/>
  <c r="AA21" i="16"/>
  <c r="AA32" i="16"/>
  <c r="AA33" i="16"/>
  <c r="AA24" i="16"/>
  <c r="AA30" i="16"/>
  <c r="AA18" i="16"/>
  <c r="AA28" i="16"/>
  <c r="AA25" i="16"/>
  <c r="AA29" i="16"/>
  <c r="AA23" i="16"/>
  <c r="AA26" i="16"/>
  <c r="AA14" i="16"/>
  <c r="AA9" i="16"/>
  <c r="AB7" i="16"/>
  <c r="AA17" i="16"/>
  <c r="AA15" i="16"/>
  <c r="AA12" i="16"/>
  <c r="AA16" i="16"/>
  <c r="AA35" i="16"/>
  <c r="AA13" i="16"/>
  <c r="AA11" i="16"/>
  <c r="AB18" i="16" l="1"/>
  <c r="AB21" i="16"/>
  <c r="AB24" i="16"/>
  <c r="AB31" i="16"/>
  <c r="AB19" i="16"/>
  <c r="AB22" i="16"/>
  <c r="AB25" i="16"/>
  <c r="AB26" i="16"/>
  <c r="AB20" i="16"/>
  <c r="AB32" i="16"/>
  <c r="AB33" i="16"/>
  <c r="AB23" i="16"/>
  <c r="AB27" i="16"/>
  <c r="AB34" i="16"/>
  <c r="AB30" i="16"/>
  <c r="AB28" i="16"/>
  <c r="AB29" i="16"/>
  <c r="AB35" i="16"/>
  <c r="AB17" i="16"/>
  <c r="AB15" i="16"/>
  <c r="AC7" i="16"/>
  <c r="AB13" i="16"/>
  <c r="AB12" i="16"/>
  <c r="AB9" i="16"/>
  <c r="AB16" i="16"/>
  <c r="AB14" i="16"/>
  <c r="AB11" i="16"/>
  <c r="AC30" i="16" l="1"/>
  <c r="AC18" i="16"/>
  <c r="AC33" i="16"/>
  <c r="AC34" i="16"/>
  <c r="AC21" i="16"/>
  <c r="AC24" i="16"/>
  <c r="AC28" i="16"/>
  <c r="AC32" i="16"/>
  <c r="AC31" i="16"/>
  <c r="AC25" i="16"/>
  <c r="AC26" i="16"/>
  <c r="AC20" i="16"/>
  <c r="AC29" i="16"/>
  <c r="AC23" i="16"/>
  <c r="AC27" i="16"/>
  <c r="AC19" i="16"/>
  <c r="AC22" i="16"/>
  <c r="AC35" i="16"/>
  <c r="AC17" i="16"/>
  <c r="AC15" i="16"/>
  <c r="AC12" i="16"/>
  <c r="AC11" i="16"/>
  <c r="AC9" i="16"/>
  <c r="AD7" i="16"/>
  <c r="AC13" i="16"/>
  <c r="AC14" i="16"/>
  <c r="AC16" i="16"/>
  <c r="AD18" i="16" l="1"/>
  <c r="AD26" i="16"/>
  <c r="AD28" i="16"/>
  <c r="AD32" i="16"/>
  <c r="AD31" i="16"/>
  <c r="AD21" i="16"/>
  <c r="AD25" i="16"/>
  <c r="AD20" i="16"/>
  <c r="AD29" i="16"/>
  <c r="AD23" i="16"/>
  <c r="AD27" i="16"/>
  <c r="AD24" i="16"/>
  <c r="AD34" i="16"/>
  <c r="AD30" i="16"/>
  <c r="AD19" i="16"/>
  <c r="AD33" i="16"/>
  <c r="AD22" i="16"/>
  <c r="AD35" i="16"/>
  <c r="AD12" i="16"/>
  <c r="AD13" i="16"/>
  <c r="AD9" i="16"/>
  <c r="AD15" i="16"/>
  <c r="AD11" i="16"/>
  <c r="AD16" i="16"/>
  <c r="AD14" i="16"/>
  <c r="AD17" i="16"/>
  <c r="AE7" i="16"/>
  <c r="AD6" i="16"/>
  <c r="AE26" i="16" l="1"/>
  <c r="AE33" i="16"/>
  <c r="AE25" i="16"/>
  <c r="AE32" i="16"/>
  <c r="AE18" i="16"/>
  <c r="AE21" i="16"/>
  <c r="AE24" i="16"/>
  <c r="AE28" i="16"/>
  <c r="AE29" i="16"/>
  <c r="AE20" i="16"/>
  <c r="AE23" i="16"/>
  <c r="AE27" i="16"/>
  <c r="AE34" i="16"/>
  <c r="AE30" i="16"/>
  <c r="AE19" i="16"/>
  <c r="AE31" i="16"/>
  <c r="AE22" i="16"/>
  <c r="AE35" i="16"/>
  <c r="AE12" i="16"/>
  <c r="AE17" i="16"/>
  <c r="AE13" i="16"/>
  <c r="AE9" i="16"/>
  <c r="AE15" i="16"/>
  <c r="AE11" i="16"/>
  <c r="AE14" i="16"/>
  <c r="AF7" i="16"/>
  <c r="AE16" i="16"/>
  <c r="AF26" i="16" l="1"/>
  <c r="AF31" i="16"/>
  <c r="AF25" i="16"/>
  <c r="AF33" i="16"/>
  <c r="AF21" i="16"/>
  <c r="AF24" i="16"/>
  <c r="AF32" i="16"/>
  <c r="AF28" i="16"/>
  <c r="AF29" i="16"/>
  <c r="AF20" i="16"/>
  <c r="AF22" i="16"/>
  <c r="AF23" i="16"/>
  <c r="AF27" i="16"/>
  <c r="AF34" i="16"/>
  <c r="AF30" i="16"/>
  <c r="AF18" i="16"/>
  <c r="AF19" i="16"/>
  <c r="AF35" i="16"/>
  <c r="AF12" i="16"/>
  <c r="AF15" i="16"/>
  <c r="AF9" i="16"/>
  <c r="AG7" i="16"/>
  <c r="AF13" i="16"/>
  <c r="AF17" i="16"/>
  <c r="AF11" i="16"/>
  <c r="AF14" i="16"/>
  <c r="AF16" i="16"/>
  <c r="AG19" i="16" l="1"/>
  <c r="AG21" i="16"/>
  <c r="AG23" i="16"/>
  <c r="AG25" i="16"/>
  <c r="AG27" i="16"/>
  <c r="AG29" i="16"/>
  <c r="AG31" i="16"/>
  <c r="AG33" i="16"/>
  <c r="AG18" i="16"/>
  <c r="AG26" i="16"/>
  <c r="AG24" i="16"/>
  <c r="AG32" i="16"/>
  <c r="AG30" i="16"/>
  <c r="AG22" i="16"/>
  <c r="AG34" i="16"/>
  <c r="AG20" i="16"/>
  <c r="AG28" i="16"/>
  <c r="AG12" i="16"/>
  <c r="AG13" i="16"/>
  <c r="AG9" i="16"/>
  <c r="AG16" i="16"/>
  <c r="AG14" i="16"/>
  <c r="AG15" i="16"/>
  <c r="AG17" i="16"/>
  <c r="AG35" i="16"/>
  <c r="AH7" i="16"/>
  <c r="AG11" i="16"/>
  <c r="AH19" i="16" l="1"/>
  <c r="AH21" i="16"/>
  <c r="AH23" i="16"/>
  <c r="AH29" i="16"/>
  <c r="AH22" i="16"/>
  <c r="AH30" i="16"/>
  <c r="AH34" i="16"/>
  <c r="AH18" i="16"/>
  <c r="AH33" i="16"/>
  <c r="AH26" i="16"/>
  <c r="AH24" i="16"/>
  <c r="AH27" i="16"/>
  <c r="AH32" i="16"/>
  <c r="AH25" i="16"/>
  <c r="AH20" i="16"/>
  <c r="AH28" i="16"/>
  <c r="AH31" i="16"/>
  <c r="AH12" i="16"/>
  <c r="AH14" i="16"/>
  <c r="AH17" i="16"/>
  <c r="AH9" i="16"/>
  <c r="AI7" i="16"/>
  <c r="AH11" i="16"/>
  <c r="AH15" i="16"/>
  <c r="AH35" i="16"/>
  <c r="AH16" i="16"/>
  <c r="AH13" i="16"/>
  <c r="AI26" i="16" l="1"/>
  <c r="AI22" i="16"/>
  <c r="AI30" i="16"/>
  <c r="AI29" i="16"/>
  <c r="AI34" i="16"/>
  <c r="AI18" i="16"/>
  <c r="AI21" i="16"/>
  <c r="AI33" i="16"/>
  <c r="AI28" i="16"/>
  <c r="AI31" i="16"/>
  <c r="AI27" i="16"/>
  <c r="AI32" i="16"/>
  <c r="AI25" i="16"/>
  <c r="AI23" i="16"/>
  <c r="AI24" i="16"/>
  <c r="AI19" i="16"/>
  <c r="AI20" i="16"/>
  <c r="AI35" i="16"/>
  <c r="AJ7" i="16"/>
  <c r="AI17" i="16"/>
  <c r="AI14" i="16"/>
  <c r="AI13" i="16"/>
  <c r="AI9" i="16"/>
  <c r="AI12" i="16"/>
  <c r="AI11" i="16"/>
  <c r="AI15" i="16"/>
  <c r="AI16" i="16"/>
  <c r="AJ25" i="16" l="1"/>
  <c r="AJ32" i="16"/>
  <c r="AJ19" i="16"/>
  <c r="AJ28" i="16"/>
  <c r="AJ29" i="16"/>
  <c r="AJ26" i="16"/>
  <c r="AJ34" i="16"/>
  <c r="AJ18" i="16"/>
  <c r="AJ21" i="16"/>
  <c r="AJ30" i="16"/>
  <c r="AJ31" i="16"/>
  <c r="AJ27" i="16"/>
  <c r="AJ22" i="16"/>
  <c r="AJ23" i="16"/>
  <c r="AJ24" i="16"/>
  <c r="AJ33" i="16"/>
  <c r="AJ20" i="16"/>
  <c r="AK7" i="16"/>
  <c r="AJ11" i="16"/>
  <c r="AJ12" i="16"/>
  <c r="AJ16" i="16"/>
  <c r="AJ17" i="16"/>
  <c r="AJ35" i="16"/>
  <c r="AJ14" i="16"/>
  <c r="AJ13" i="16"/>
  <c r="AJ9" i="16"/>
  <c r="AJ15" i="16"/>
  <c r="AK25" i="16" l="1"/>
  <c r="AK27" i="16"/>
  <c r="AK19" i="16"/>
  <c r="AK28" i="16"/>
  <c r="AK29" i="16"/>
  <c r="AK20" i="16"/>
  <c r="AK23" i="16"/>
  <c r="AK26" i="16"/>
  <c r="AK22" i="16"/>
  <c r="AK21" i="16"/>
  <c r="AK30" i="16"/>
  <c r="AK31" i="16"/>
  <c r="AK32" i="16"/>
  <c r="AK24" i="16"/>
  <c r="AK34" i="16"/>
  <c r="AK18" i="16"/>
  <c r="AK33" i="16"/>
  <c r="AK13" i="16"/>
  <c r="AK35" i="16"/>
  <c r="AK15" i="16"/>
  <c r="AK11" i="16"/>
  <c r="AK12" i="16"/>
  <c r="AK16" i="16"/>
  <c r="AL7" i="16"/>
  <c r="AK14" i="16"/>
  <c r="AK6" i="16"/>
  <c r="AK17" i="16"/>
  <c r="AK9" i="16"/>
  <c r="AL24" i="16" l="1"/>
  <c r="AL28" i="16"/>
  <c r="AL27" i="16"/>
  <c r="AL20" i="16"/>
  <c r="AL23" i="16"/>
  <c r="AL29" i="16"/>
  <c r="AL22" i="16"/>
  <c r="AL26" i="16"/>
  <c r="AL21" i="16"/>
  <c r="AL30" i="16"/>
  <c r="AL31" i="16"/>
  <c r="AL32" i="16"/>
  <c r="AL34" i="16"/>
  <c r="AL18" i="16"/>
  <c r="AL19" i="16"/>
  <c r="AL25" i="16"/>
  <c r="AL33" i="16"/>
  <c r="AL14" i="16"/>
  <c r="AM7" i="16"/>
  <c r="AL17" i="16"/>
  <c r="AL11" i="16"/>
  <c r="AL15" i="16"/>
  <c r="AL35" i="16"/>
  <c r="AL9" i="16"/>
  <c r="AL12" i="16"/>
  <c r="AL16" i="16"/>
  <c r="AL13" i="16"/>
  <c r="AM24" i="16" l="1"/>
  <c r="AM20" i="16"/>
  <c r="AM23" i="16"/>
  <c r="AM29" i="16"/>
  <c r="AM18" i="16"/>
  <c r="AM28" i="16"/>
  <c r="AM22" i="16"/>
  <c r="AM26" i="16"/>
  <c r="AM27" i="16"/>
  <c r="AM21" i="16"/>
  <c r="AM30" i="16"/>
  <c r="AM31" i="16"/>
  <c r="AM32" i="16"/>
  <c r="AM34" i="16"/>
  <c r="AM19" i="16"/>
  <c r="AM25" i="16"/>
  <c r="AM33" i="16"/>
  <c r="AN7" i="16"/>
  <c r="AM16" i="16"/>
  <c r="AM13" i="16"/>
  <c r="AM9" i="16"/>
  <c r="AM12" i="16"/>
  <c r="AM35" i="16"/>
  <c r="AM11" i="16"/>
  <c r="AM14" i="16"/>
  <c r="AM15" i="16"/>
  <c r="AM17" i="16"/>
  <c r="AN22" i="16" l="1"/>
  <c r="AN23" i="16"/>
  <c r="AN20" i="16"/>
  <c r="AN29" i="16"/>
  <c r="AN34" i="16"/>
  <c r="AN18" i="16"/>
  <c r="AN28" i="16"/>
  <c r="AN26" i="16"/>
  <c r="AN27" i="16"/>
  <c r="AN32" i="16"/>
  <c r="AN24" i="16"/>
  <c r="AN30" i="16"/>
  <c r="AN19" i="16"/>
  <c r="AN25" i="16"/>
  <c r="AN21" i="16"/>
  <c r="AN31" i="16"/>
  <c r="AN33" i="16"/>
  <c r="AN35" i="16"/>
  <c r="AN16" i="16"/>
  <c r="AO7" i="16"/>
  <c r="AN13" i="16"/>
  <c r="AN17" i="16"/>
  <c r="AN14" i="16"/>
  <c r="AN9" i="16"/>
  <c r="AN12" i="16"/>
  <c r="AN11" i="16"/>
  <c r="AN15" i="16"/>
  <c r="AO18" i="16" l="1"/>
  <c r="AO20" i="16"/>
  <c r="AO22" i="16"/>
  <c r="AO24" i="16"/>
  <c r="AO26" i="16"/>
  <c r="AO28" i="16"/>
  <c r="AO30" i="16"/>
  <c r="AO32" i="16"/>
  <c r="AO34" i="16"/>
  <c r="AO31" i="16"/>
  <c r="AO23" i="16"/>
  <c r="AO29" i="16"/>
  <c r="AO33" i="16"/>
  <c r="AO27" i="16"/>
  <c r="AO19" i="16"/>
  <c r="AO25" i="16"/>
  <c r="AO21" i="16"/>
  <c r="AO17" i="16"/>
  <c r="AO16" i="16"/>
  <c r="AO35" i="16"/>
  <c r="AO11" i="16"/>
  <c r="AO14" i="16"/>
  <c r="AP7" i="16"/>
  <c r="AO12" i="16"/>
  <c r="AO9" i="16"/>
  <c r="AO13" i="16"/>
  <c r="AO15" i="16"/>
  <c r="AP18" i="16" l="1"/>
  <c r="AP20" i="16"/>
  <c r="AP22" i="16"/>
  <c r="AP24" i="16"/>
  <c r="AP21" i="16"/>
  <c r="AP23" i="16"/>
  <c r="AP27" i="16"/>
  <c r="AP30" i="16"/>
  <c r="AP34" i="16"/>
  <c r="AP28" i="16"/>
  <c r="AP29" i="16"/>
  <c r="AP26" i="16"/>
  <c r="AP33" i="16"/>
  <c r="AP32" i="16"/>
  <c r="AP19" i="16"/>
  <c r="AP25" i="16"/>
  <c r="AP31" i="16"/>
  <c r="AP11" i="16"/>
  <c r="AP14" i="16"/>
  <c r="AP13" i="16"/>
  <c r="AP15" i="16"/>
  <c r="AQ7" i="16"/>
  <c r="AP16" i="16"/>
  <c r="AP9" i="16"/>
  <c r="AP12" i="16"/>
  <c r="AP35" i="16"/>
  <c r="AP17" i="16"/>
  <c r="AQ27" i="16" l="1"/>
  <c r="AQ21" i="16"/>
  <c r="AQ22" i="16"/>
  <c r="AQ20" i="16"/>
  <c r="AQ23" i="16"/>
  <c r="AQ25" i="16"/>
  <c r="AQ30" i="16"/>
  <c r="AQ19" i="16"/>
  <c r="AQ18" i="16"/>
  <c r="AQ34" i="16"/>
  <c r="AQ28" i="16"/>
  <c r="AQ29" i="16"/>
  <c r="AQ31" i="16"/>
  <c r="AQ26" i="16"/>
  <c r="AQ33" i="16"/>
  <c r="AQ32" i="16"/>
  <c r="AQ24" i="16"/>
  <c r="AQ15" i="16"/>
  <c r="AQ16" i="16"/>
  <c r="AR7" i="16"/>
  <c r="AQ17" i="16"/>
  <c r="AQ14" i="16"/>
  <c r="AQ35" i="16"/>
  <c r="AQ13" i="16"/>
  <c r="AQ9" i="16"/>
  <c r="AQ12" i="16"/>
  <c r="AQ11" i="16"/>
  <c r="AR19" i="16" l="1"/>
  <c r="AR20" i="16"/>
  <c r="AR34" i="16"/>
  <c r="AR27" i="16"/>
  <c r="AR25" i="16"/>
  <c r="AR30" i="16"/>
  <c r="AR23" i="16"/>
  <c r="AR18" i="16"/>
  <c r="AR22" i="16"/>
  <c r="AR31" i="16"/>
  <c r="AR26" i="16"/>
  <c r="AR29" i="16"/>
  <c r="AR33" i="16"/>
  <c r="AR32" i="16"/>
  <c r="AR24" i="16"/>
  <c r="AR28" i="16"/>
  <c r="AR21" i="16"/>
  <c r="AR35" i="16"/>
  <c r="AR13" i="16"/>
  <c r="AR14" i="16"/>
  <c r="AR16" i="16"/>
  <c r="AR9" i="16"/>
  <c r="AR12" i="16"/>
  <c r="AR17" i="16"/>
  <c r="AR15" i="16"/>
  <c r="AR6" i="16"/>
  <c r="AS7" i="16"/>
  <c r="AR11" i="16"/>
  <c r="AS19" i="16" l="1"/>
  <c r="AS20" i="16"/>
  <c r="AS27" i="16"/>
  <c r="AS25" i="16"/>
  <c r="AS30" i="16"/>
  <c r="AS34" i="16"/>
  <c r="AS18" i="16"/>
  <c r="AS22" i="16"/>
  <c r="AS21" i="16"/>
  <c r="AS31" i="16"/>
  <c r="AS26" i="16"/>
  <c r="AS29" i="16"/>
  <c r="AS33" i="16"/>
  <c r="AS23" i="16"/>
  <c r="AS32" i="16"/>
  <c r="AS24" i="16"/>
  <c r="AS28" i="16"/>
  <c r="AS35" i="16"/>
  <c r="AS13" i="16"/>
  <c r="AS17" i="16"/>
  <c r="AT7" i="16"/>
  <c r="AS15" i="16"/>
  <c r="AS12" i="16"/>
  <c r="AS11" i="16"/>
  <c r="AS9" i="16"/>
  <c r="AS14" i="16"/>
  <c r="AS16" i="16"/>
  <c r="AT18" i="16" l="1"/>
  <c r="AT30" i="16"/>
  <c r="AT31" i="16"/>
  <c r="AT27" i="16"/>
  <c r="AT20" i="16"/>
  <c r="AT25" i="16"/>
  <c r="AT33" i="16"/>
  <c r="AT19" i="16"/>
  <c r="AT34" i="16"/>
  <c r="AT21" i="16"/>
  <c r="AT22" i="16"/>
  <c r="AT26" i="16"/>
  <c r="AT29" i="16"/>
  <c r="AT23" i="16"/>
  <c r="AT32" i="16"/>
  <c r="AT24" i="16"/>
  <c r="AT28" i="16"/>
  <c r="AT13" i="16"/>
  <c r="AT35" i="16"/>
  <c r="AT14" i="16"/>
  <c r="AT12" i="16"/>
  <c r="AT9" i="16"/>
  <c r="AT17" i="16"/>
  <c r="AT11" i="16"/>
  <c r="AT16" i="16"/>
  <c r="AU7" i="16"/>
  <c r="AT15" i="16"/>
  <c r="AU18" i="16" l="1"/>
  <c r="AU33" i="16"/>
  <c r="AU34" i="16"/>
  <c r="AU19" i="16"/>
  <c r="AU22" i="16"/>
  <c r="AU31" i="16"/>
  <c r="AU27" i="16"/>
  <c r="AU23" i="16"/>
  <c r="AU21" i="16"/>
  <c r="AU26" i="16"/>
  <c r="AU29" i="16"/>
  <c r="AU30" i="16"/>
  <c r="AU32" i="16"/>
  <c r="AU20" i="16"/>
  <c r="AU24" i="16"/>
  <c r="AU25" i="16"/>
  <c r="AU28" i="16"/>
  <c r="AU35" i="16"/>
  <c r="AU9" i="16"/>
  <c r="AU15" i="16"/>
  <c r="AU11" i="16"/>
  <c r="AU16" i="16"/>
  <c r="AU14" i="16"/>
  <c r="AV7" i="16"/>
  <c r="AU17" i="16"/>
  <c r="AU13" i="16"/>
  <c r="AU12" i="16"/>
  <c r="AV26" i="16" l="1"/>
  <c r="AV33" i="16"/>
  <c r="AV21" i="16"/>
  <c r="AV24" i="16"/>
  <c r="AV32" i="16"/>
  <c r="AV19" i="16"/>
  <c r="AV22" i="16"/>
  <c r="AV31" i="16"/>
  <c r="AV23" i="16"/>
  <c r="AV18" i="16"/>
  <c r="AV25" i="16"/>
  <c r="AV28" i="16"/>
  <c r="AV29" i="16"/>
  <c r="AV27" i="16"/>
  <c r="AV30" i="16"/>
  <c r="AV34" i="16"/>
  <c r="AV20" i="16"/>
  <c r="AV9" i="16"/>
  <c r="AV11" i="16"/>
  <c r="AV17" i="16"/>
  <c r="AV35" i="16"/>
  <c r="AV14" i="16"/>
  <c r="AV12" i="16"/>
  <c r="AV16" i="16"/>
  <c r="AV13" i="16"/>
  <c r="AW7" i="16"/>
  <c r="AV15" i="16"/>
  <c r="AW19" i="16" l="1"/>
  <c r="AW21" i="16"/>
  <c r="AW23" i="16"/>
  <c r="AW25" i="16"/>
  <c r="AW27" i="16"/>
  <c r="AW29" i="16"/>
  <c r="AW31" i="16"/>
  <c r="AW33" i="16"/>
  <c r="AW26" i="16"/>
  <c r="AW32" i="16"/>
  <c r="AW24" i="16"/>
  <c r="AW28" i="16"/>
  <c r="AW22" i="16"/>
  <c r="AW18" i="16"/>
  <c r="AW30" i="16"/>
  <c r="AW34" i="16"/>
  <c r="AW20" i="16"/>
  <c r="AW12" i="16"/>
  <c r="AW13" i="16"/>
  <c r="AW17" i="16"/>
  <c r="AX7" i="16"/>
  <c r="AW14" i="16"/>
  <c r="AW16" i="16"/>
  <c r="AW15" i="16"/>
  <c r="AW35" i="16"/>
  <c r="AW11" i="16"/>
  <c r="AW9" i="16"/>
  <c r="AX19" i="16" l="1"/>
  <c r="AX21" i="16"/>
  <c r="AX23" i="16"/>
  <c r="AX18" i="16"/>
  <c r="AX28" i="16"/>
  <c r="AX32" i="16"/>
  <c r="AX22" i="16"/>
  <c r="AX31" i="16"/>
  <c r="AX33" i="16"/>
  <c r="AX20" i="16"/>
  <c r="AX25" i="16"/>
  <c r="AX26" i="16"/>
  <c r="AX29" i="16"/>
  <c r="AX27" i="16"/>
  <c r="AX30" i="16"/>
  <c r="AX34" i="16"/>
  <c r="AX24" i="16"/>
  <c r="AX17" i="16"/>
  <c r="AX11" i="16"/>
  <c r="AX16" i="16"/>
  <c r="AY7" i="16"/>
  <c r="AX9" i="16"/>
  <c r="AX15" i="16"/>
  <c r="AX12" i="16"/>
  <c r="AX35" i="16"/>
  <c r="AX14" i="16"/>
  <c r="AX13" i="16"/>
  <c r="AY29" i="16" l="1"/>
  <c r="AY25" i="16"/>
  <c r="AY31" i="16"/>
  <c r="AY18" i="16"/>
  <c r="AY21" i="16"/>
  <c r="AY19" i="16"/>
  <c r="AY28" i="16"/>
  <c r="AY32" i="16"/>
  <c r="AY24" i="16"/>
  <c r="AY23" i="16"/>
  <c r="AY33" i="16"/>
  <c r="AY20" i="16"/>
  <c r="AY22" i="16"/>
  <c r="AY26" i="16"/>
  <c r="AY27" i="16"/>
  <c r="AY30" i="16"/>
  <c r="AY34" i="16"/>
  <c r="AY35" i="16"/>
  <c r="AY16" i="16"/>
  <c r="AY11" i="16"/>
  <c r="AY15" i="16"/>
  <c r="AY17" i="16"/>
  <c r="AY13" i="16"/>
  <c r="AY6" i="16"/>
  <c r="AZ7" i="16"/>
  <c r="AY14" i="16"/>
  <c r="AY9" i="16"/>
  <c r="AY12" i="16"/>
  <c r="AZ30" i="16" l="1"/>
  <c r="AZ25" i="16"/>
  <c r="AZ33" i="16"/>
  <c r="AZ19" i="16"/>
  <c r="AZ28" i="16"/>
  <c r="AZ32" i="16"/>
  <c r="AZ24" i="16"/>
  <c r="AZ23" i="16"/>
  <c r="AZ20" i="16"/>
  <c r="AZ21" i="16"/>
  <c r="AZ31" i="16"/>
  <c r="AZ22" i="16"/>
  <c r="AZ26" i="16"/>
  <c r="AZ29" i="16"/>
  <c r="AZ27" i="16"/>
  <c r="AZ18" i="16"/>
  <c r="AZ34" i="16"/>
  <c r="AZ35" i="16"/>
  <c r="AZ17" i="16"/>
  <c r="AZ16" i="16"/>
  <c r="AZ9" i="16"/>
  <c r="AZ15" i="16"/>
  <c r="AZ13" i="16"/>
  <c r="BA7" i="16"/>
  <c r="AZ11" i="16"/>
  <c r="AZ12" i="16"/>
  <c r="AZ14" i="16"/>
  <c r="BA25" i="16" l="1"/>
  <c r="BA32" i="16"/>
  <c r="BA30" i="16"/>
  <c r="BA24" i="16"/>
  <c r="BA26" i="16"/>
  <c r="BA34" i="16"/>
  <c r="BA33" i="16"/>
  <c r="BA20" i="16"/>
  <c r="BA19" i="16"/>
  <c r="BA23" i="16"/>
  <c r="BA28" i="16"/>
  <c r="BA21" i="16"/>
  <c r="BA31" i="16"/>
  <c r="BA22" i="16"/>
  <c r="BA29" i="16"/>
  <c r="BA27" i="16"/>
  <c r="BA18" i="16"/>
  <c r="BA14" i="16"/>
  <c r="BA9" i="16"/>
  <c r="BA35" i="16"/>
  <c r="BA16" i="16"/>
  <c r="BA13" i="16"/>
  <c r="BA15" i="16"/>
  <c r="BA12" i="16"/>
  <c r="BB7" i="16"/>
  <c r="BA17" i="16"/>
  <c r="BA11" i="16"/>
  <c r="BB25" i="16" l="1"/>
  <c r="BB22" i="16"/>
  <c r="BB26" i="16"/>
  <c r="BB28" i="16"/>
  <c r="BB29" i="16"/>
  <c r="BB24" i="16"/>
  <c r="BB34" i="16"/>
  <c r="BB33" i="16"/>
  <c r="BB20" i="16"/>
  <c r="BB19" i="16"/>
  <c r="BB21" i="16"/>
  <c r="BB31" i="16"/>
  <c r="BB23" i="16"/>
  <c r="BB27" i="16"/>
  <c r="BB32" i="16"/>
  <c r="BB18" i="16"/>
  <c r="BB30" i="16"/>
  <c r="BB35" i="16"/>
  <c r="BC7" i="16"/>
  <c r="BB12" i="16"/>
  <c r="BB9" i="16"/>
  <c r="BB14" i="16"/>
  <c r="BB11" i="16"/>
  <c r="BB17" i="16"/>
  <c r="BB16" i="16"/>
  <c r="BB15" i="16"/>
  <c r="BB13" i="16"/>
  <c r="BC28" i="16" l="1"/>
  <c r="BC22" i="16"/>
  <c r="BC26" i="16"/>
  <c r="BC29" i="16"/>
  <c r="BC18" i="16"/>
  <c r="BC21" i="16"/>
  <c r="BC24" i="16"/>
  <c r="BC34" i="16"/>
  <c r="BC20" i="16"/>
  <c r="BC33" i="16"/>
  <c r="BC19" i="16"/>
  <c r="BC25" i="16"/>
  <c r="BC31" i="16"/>
  <c r="BC23" i="16"/>
  <c r="BC27" i="16"/>
  <c r="BC32" i="16"/>
  <c r="BC30" i="16"/>
  <c r="BC11" i="16"/>
  <c r="BC15" i="16"/>
  <c r="BC16" i="16"/>
  <c r="BC17" i="16"/>
  <c r="BC12" i="16"/>
  <c r="BD7" i="16"/>
  <c r="BC13" i="16"/>
  <c r="BC9" i="16"/>
  <c r="BC35" i="16"/>
  <c r="BC14" i="16"/>
  <c r="BD24" i="16" l="1"/>
  <c r="BD19" i="16"/>
  <c r="BD27" i="16"/>
  <c r="BD28" i="16"/>
  <c r="BD18" i="16"/>
  <c r="BD21" i="16"/>
  <c r="BD26" i="16"/>
  <c r="BD32" i="16"/>
  <c r="BD20" i="16"/>
  <c r="BD33" i="16"/>
  <c r="BD30" i="16"/>
  <c r="BD34" i="16"/>
  <c r="BD25" i="16"/>
  <c r="BD22" i="16"/>
  <c r="BD31" i="16"/>
  <c r="BD29" i="16"/>
  <c r="BD23" i="16"/>
  <c r="BE7" i="16"/>
  <c r="BD14" i="16"/>
  <c r="BD9" i="16"/>
  <c r="BD12" i="16"/>
  <c r="BD17" i="16"/>
  <c r="BD11" i="16"/>
  <c r="BD13" i="16"/>
  <c r="BD15" i="16"/>
  <c r="BD35" i="16"/>
  <c r="BD16" i="16"/>
  <c r="BE18" i="16" l="1"/>
  <c r="BE20" i="16"/>
  <c r="BE22" i="16"/>
  <c r="BE24" i="16"/>
  <c r="BE26" i="16"/>
  <c r="BE28" i="16"/>
  <c r="BE30" i="16"/>
  <c r="BE32" i="16"/>
  <c r="BE34" i="16"/>
  <c r="BE19" i="16"/>
  <c r="BE27" i="16"/>
  <c r="BE29" i="16"/>
  <c r="BE21" i="16"/>
  <c r="BE25" i="16"/>
  <c r="BE33" i="16"/>
  <c r="BE31" i="16"/>
  <c r="BE23" i="16"/>
  <c r="BE16" i="16"/>
  <c r="BE9" i="16"/>
  <c r="BE17" i="16"/>
  <c r="BE11" i="16"/>
  <c r="BF7" i="16"/>
  <c r="BE35" i="16"/>
  <c r="BE15" i="16"/>
  <c r="BE14" i="16"/>
  <c r="BE12" i="16"/>
  <c r="BE13" i="16"/>
  <c r="BF18" i="16" l="1"/>
  <c r="BF20" i="16"/>
  <c r="BF22" i="16"/>
  <c r="BF24" i="16"/>
  <c r="BF23" i="16"/>
  <c r="BF31" i="16"/>
  <c r="BF29" i="16"/>
  <c r="BF26" i="16"/>
  <c r="BF21" i="16"/>
  <c r="BF25" i="16"/>
  <c r="BF32" i="16"/>
  <c r="BF19" i="16"/>
  <c r="BF30" i="16"/>
  <c r="BF34" i="16"/>
  <c r="BF28" i="16"/>
  <c r="BF33" i="16"/>
  <c r="BF27" i="16"/>
  <c r="BF35" i="16"/>
  <c r="BF17" i="16"/>
  <c r="BG7" i="16"/>
  <c r="BF12" i="16"/>
  <c r="BF6" i="16"/>
  <c r="BF11" i="16"/>
  <c r="BF14" i="16"/>
  <c r="BF13" i="16"/>
  <c r="BF15" i="16"/>
  <c r="BF9" i="16"/>
  <c r="BF16" i="16"/>
  <c r="BG23" i="16" l="1"/>
  <c r="BG24" i="16"/>
  <c r="BG18" i="16"/>
  <c r="BG29" i="16"/>
  <c r="BG26" i="16"/>
  <c r="BG31" i="16"/>
  <c r="BG25" i="16"/>
  <c r="BG32" i="16"/>
  <c r="BG20" i="16"/>
  <c r="BG30" i="16"/>
  <c r="BG34" i="16"/>
  <c r="BG28" i="16"/>
  <c r="BG21" i="16"/>
  <c r="BG33" i="16"/>
  <c r="BG22" i="16"/>
  <c r="BG19" i="16"/>
  <c r="BG27" i="16"/>
  <c r="BG14" i="16"/>
  <c r="BG12" i="16"/>
  <c r="BG17" i="16"/>
  <c r="BG13" i="16"/>
  <c r="BG15" i="16"/>
  <c r="BG9" i="16"/>
  <c r="BG16" i="16"/>
  <c r="BG11" i="16"/>
  <c r="BH7" i="16"/>
  <c r="BG35" i="16"/>
  <c r="BH21" i="16" l="1"/>
  <c r="BH22" i="16"/>
  <c r="BH27" i="16"/>
  <c r="BH18" i="16"/>
  <c r="BH24" i="16"/>
  <c r="BH29" i="16"/>
  <c r="BH30" i="16"/>
  <c r="BH31" i="16"/>
  <c r="BH25" i="16"/>
  <c r="BH32" i="16"/>
  <c r="BH20" i="16"/>
  <c r="BH19" i="16"/>
  <c r="BH34" i="16"/>
  <c r="BH28" i="16"/>
  <c r="BH33" i="16"/>
  <c r="BH26" i="16"/>
  <c r="BH23" i="16"/>
  <c r="BH35" i="16"/>
  <c r="BH12" i="16"/>
  <c r="BH13" i="16"/>
  <c r="BH15" i="16"/>
  <c r="BH14" i="16"/>
  <c r="BH17" i="16"/>
  <c r="BI7" i="16"/>
  <c r="BH16" i="16"/>
  <c r="BH9" i="16"/>
  <c r="BH11" i="16"/>
  <c r="BI34" i="16" l="1"/>
  <c r="BI21" i="16"/>
  <c r="BI22" i="16"/>
  <c r="BI20" i="16"/>
  <c r="BI23" i="16"/>
  <c r="BI30" i="16"/>
  <c r="BI24" i="16"/>
  <c r="BI31" i="16"/>
  <c r="BI25" i="16"/>
  <c r="BI32" i="16"/>
  <c r="BI27" i="16"/>
  <c r="BI19" i="16"/>
  <c r="BI28" i="16"/>
  <c r="BI33" i="16"/>
  <c r="BI26" i="16"/>
  <c r="BI29" i="16"/>
  <c r="BI18" i="16"/>
  <c r="BI9" i="16"/>
  <c r="BJ7" i="16"/>
  <c r="BI11" i="16"/>
  <c r="BI14" i="16"/>
  <c r="BI17" i="16"/>
  <c r="BI13" i="16"/>
  <c r="BI12" i="16"/>
  <c r="BI15" i="16"/>
  <c r="BI35" i="16"/>
  <c r="BI16" i="16"/>
  <c r="BJ19" i="16" l="1"/>
  <c r="BJ20" i="16"/>
  <c r="BJ23" i="16"/>
  <c r="BJ30" i="16"/>
  <c r="BJ26" i="16"/>
  <c r="BJ27" i="16"/>
  <c r="BJ24" i="16"/>
  <c r="BJ31" i="16"/>
  <c r="BJ25" i="16"/>
  <c r="BJ18" i="16"/>
  <c r="BJ34" i="16"/>
  <c r="BJ28" i="16"/>
  <c r="BJ21" i="16"/>
  <c r="BJ22" i="16"/>
  <c r="BJ33" i="16"/>
  <c r="BJ29" i="16"/>
  <c r="BJ32" i="16"/>
  <c r="BJ9" i="16"/>
  <c r="BJ16" i="16"/>
  <c r="BJ17" i="16"/>
  <c r="BJ13" i="16"/>
  <c r="BJ14" i="16"/>
  <c r="BJ15" i="16"/>
  <c r="BJ11" i="16"/>
  <c r="BK7" i="16"/>
  <c r="BJ35" i="16"/>
  <c r="BJ12" i="16"/>
  <c r="BK30" i="16" l="1"/>
  <c r="BK19" i="16"/>
  <c r="BK20" i="16"/>
  <c r="BK23" i="16"/>
  <c r="BK21" i="16"/>
  <c r="BK28" i="16"/>
  <c r="BK29" i="16"/>
  <c r="BK26" i="16"/>
  <c r="BK27" i="16"/>
  <c r="BK24" i="16"/>
  <c r="BK31" i="16"/>
  <c r="BK32" i="16"/>
  <c r="BK18" i="16"/>
  <c r="BK25" i="16"/>
  <c r="BK34" i="16"/>
  <c r="BK22" i="16"/>
  <c r="BK33" i="16"/>
  <c r="BK14" i="16"/>
  <c r="BK17" i="16"/>
  <c r="BK13" i="16"/>
  <c r="BK16" i="16"/>
  <c r="BK15" i="16"/>
  <c r="BL7" i="16"/>
  <c r="BK11" i="16"/>
  <c r="BK12" i="16"/>
  <c r="BK35" i="16"/>
  <c r="BK9" i="16"/>
  <c r="BL18" i="16" l="1"/>
  <c r="BL20" i="16"/>
  <c r="BL25" i="16"/>
  <c r="BL27" i="16"/>
  <c r="BL23" i="16"/>
  <c r="BL30" i="16"/>
  <c r="BL34" i="16"/>
  <c r="BL21" i="16"/>
  <c r="BL28" i="16"/>
  <c r="BL29" i="16"/>
  <c r="BL26" i="16"/>
  <c r="BL32" i="16"/>
  <c r="BL19" i="16"/>
  <c r="BL31" i="16"/>
  <c r="BL22" i="16"/>
  <c r="BL33" i="16"/>
  <c r="BL24" i="16"/>
  <c r="BL35" i="16"/>
  <c r="BL14" i="16"/>
  <c r="BL9" i="16"/>
  <c r="BL11" i="16"/>
  <c r="BL16" i="16"/>
  <c r="BL15" i="16"/>
  <c r="BL17" i="16"/>
  <c r="BL12" i="16"/>
  <c r="BL1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<sst xmlns="http://schemas.openxmlformats.org/spreadsheetml/2006/main" count="179" uniqueCount="95">
  <si>
    <t>Task 3</t>
  </si>
  <si>
    <t>Task 4</t>
  </si>
  <si>
    <t>Task 5</t>
  </si>
  <si>
    <t>Task 1</t>
  </si>
  <si>
    <t>Task 2</t>
  </si>
  <si>
    <t>Name</t>
  </si>
  <si>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</si>
  <si>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</si>
  <si>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</si>
  <si>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</si>
  <si>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</si>
  <si>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</si>
  <si>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</si>
  <si>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</si>
  <si>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</si>
  <si>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</si>
  <si>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</si>
  <si>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</si>
  <si>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</si>
  <si>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</si>
  <si>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</si>
  <si>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</si>
  <si>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</si>
  <si>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</si>
  <si>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</si>
  <si>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TITLE 1</t>
  </si>
  <si>
    <t>TITLE 2</t>
  </si>
  <si>
    <t>TITLE 3</t>
  </si>
  <si>
    <t>TITLE 4</t>
  </si>
  <si>
    <t>ABOUT THIS GANTT CHART</t>
  </si>
  <si>
    <t>PROJECT: Light</t>
  </si>
  <si>
    <t>PROJECT: Color</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</si>
  <si>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</si>
  <si>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</si>
  <si>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Contoso, Ltd.</t>
  </si>
  <si>
    <t>Riku Nakano</t>
  </si>
  <si>
    <t>Project development</t>
  </si>
  <si>
    <t>Project charter</t>
  </si>
  <si>
    <t>Research</t>
  </si>
  <si>
    <t>Projections</t>
  </si>
  <si>
    <t>Stakeholders</t>
  </si>
  <si>
    <t>Review</t>
  </si>
  <si>
    <t>Contracts</t>
  </si>
  <si>
    <t>Proposals</t>
  </si>
  <si>
    <t>Document review</t>
  </si>
  <si>
    <t>Bid date</t>
  </si>
  <si>
    <t>Award date</t>
  </si>
  <si>
    <t>Finalize</t>
  </si>
  <si>
    <t>Design</t>
  </si>
  <si>
    <t>Feasibility study</t>
  </si>
  <si>
    <t>Submit permit applications</t>
  </si>
  <si>
    <t>Design proposal</t>
  </si>
  <si>
    <t>Materials</t>
  </si>
  <si>
    <t>Equipment</t>
  </si>
  <si>
    <t>Testing</t>
  </si>
  <si>
    <t>Environment</t>
  </si>
  <si>
    <t>System test</t>
  </si>
  <si>
    <t>Issues/bugs</t>
  </si>
  <si>
    <t>Hayden Cook</t>
  </si>
  <si>
    <t>Project start date:</t>
  </si>
  <si>
    <t>Scrolling increment:</t>
  </si>
  <si>
    <t>Max Montowski</t>
  </si>
  <si>
    <t>Project: Gameathon</t>
  </si>
  <si>
    <t>Initilize Git Project</t>
  </si>
  <si>
    <t>Design Data Base</t>
  </si>
  <si>
    <t>Design Logo</t>
  </si>
  <si>
    <t>Create Home Page</t>
  </si>
  <si>
    <t>Impliment data base</t>
  </si>
  <si>
    <t>Task 6</t>
  </si>
  <si>
    <t>Task 7</t>
  </si>
  <si>
    <t>Task 8</t>
  </si>
  <si>
    <t>Task 9</t>
  </si>
  <si>
    <t>Task 10</t>
  </si>
  <si>
    <t>Create Family Home Page</t>
  </si>
  <si>
    <t>Create Owner Home Page</t>
  </si>
  <si>
    <t>Create add Game Page</t>
  </si>
  <si>
    <t>Create add family Member page</t>
  </si>
  <si>
    <t>Create view family member page</t>
  </si>
  <si>
    <t>Task 11</t>
  </si>
  <si>
    <t>Task 12</t>
  </si>
  <si>
    <t>Task 13</t>
  </si>
  <si>
    <t>Task 14</t>
  </si>
  <si>
    <t>Task 15</t>
  </si>
  <si>
    <t>Task 16</t>
  </si>
  <si>
    <t>Task 17</t>
  </si>
  <si>
    <t>Task 18</t>
  </si>
  <si>
    <t>Task 19</t>
  </si>
  <si>
    <t>Not Done</t>
  </si>
  <si>
    <t>Done</t>
  </si>
  <si>
    <t>Add Logging to existing Files</t>
  </si>
  <si>
    <t>Add Java Doc to existing Files</t>
  </si>
  <si>
    <t>Connect data tables to front end</t>
  </si>
  <si>
    <t>Impliment Spring Security</t>
  </si>
  <si>
    <t>Write Testing Code for existing code</t>
  </si>
  <si>
    <t>Beautify 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</si>
</sst>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
      <sz val="8"/>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10" fillId="0" borderId="0" xfId="0" applyFont="1" applyAlignment="1">
      <alignment horizontal="left" wrapText="1" indent="3"/>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5"/>
      <tableStyleElement type="headerRow" dxfId="74"/>
      <tableStyleElement type="firstRowStripe" dxfId="73"/>
      <tableStyleElement type="secondRowStripe" dxfId="72"/>
    </tableStyle>
    <tableStyle name="ToDoList"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val="5"/>
</file>

<file path=xl/ctrlProps/ctrlProp2.xml><?xml version="1.0" encoding="utf-8"?>
<formControlPr xmlns="http://schemas.microsoft.com/office/spreadsheetml/2009/9/main" objectType="Scroll" dx="39" fmlaLink="$C$7" horiz="1" max="365" page="2" val="0"/>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3.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63500</xdr:rowOff>
        </xdr:from>
        <xdr:to>
          <xdr:col>63</xdr:col>
          <xdr:colOff>228600</xdr:colOff>
          <xdr:row>7</xdr:row>
          <xdr:rowOff>234950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63500</xdr:rowOff>
        </xdr:from>
        <xdr:to>
          <xdr:col>63</xdr:col>
          <xdr:colOff>228600</xdr:colOff>
          <xdr:row>7</xdr:row>
          <xdr:rowOff>234950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41</xdr:col>
      <xdr:colOff>228570</xdr:colOff>
      <xdr:row>3</xdr:row>
      <xdr:rowOff>133125</xdr:rowOff>
    </xdr:from>
    <xdr:to>
      <xdr:col>41</xdr:col>
      <xdr:colOff>228930</xdr:colOff>
      <xdr:row>3</xdr:row>
      <xdr:rowOff>133485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648305D0-049F-7A1B-BA6D-28CBEF2EF1E7}"/>
                </a:ext>
              </a:extLst>
            </xdr14:cNvPr>
            <xdr14:cNvContentPartPr/>
          </xdr14:nvContentPartPr>
          <xdr14:nvPr macro=""/>
          <xdr14:xfrm>
            <a:off x="16011495" y="1342800"/>
            <a:ext cx="360" cy="360"/>
          </xdr14:xfrm>
        </xdr:contentPart>
      </mc:Choice>
      <mc:Fallback>
        <xdr:pic>
          <xdr:nvPicPr>
            <xdr:cNvPr id="2" name="Ink 1">
              <a:extLst>
                <a:ext uri="{FF2B5EF4-FFF2-40B4-BE49-F238E27FC236}">
                  <a16:creationId xmlns:a16="http://schemas.microsoft.com/office/drawing/2014/main" id="{648305D0-049F-7A1B-BA6D-28CBEF2EF1E7}"/>
                </a:ext>
              </a:extLst>
            </xdr:cNvPr>
            <xdr:cNvPicPr/>
          </xdr:nvPicPr>
          <xdr:blipFill>
            <a:blip xmlns:r="http://schemas.openxmlformats.org/officeDocument/2006/relationships" r:embed="rId2"/>
            <a:stretch>
              <a:fillRect/>
            </a:stretch>
          </xdr:blipFill>
          <xdr:spPr>
            <a:xfrm>
              <a:off x="16005375" y="1336680"/>
              <a:ext cx="12600" cy="12600"/>
            </a:xfrm>
            <a:prstGeom prst="rect">
              <a:avLst/>
            </a:prstGeom>
          </xdr:spPr>
        </xdr:pic>
      </mc:Fallback>
    </mc:AlternateContent>
    <xdr:clientData/>
  </xdr:twoCellAnchor>
  <xdr:twoCellAnchor editAs="oneCell">
    <xdr:from>
      <xdr:col>37</xdr:col>
      <xdr:colOff>142770</xdr:colOff>
      <xdr:row>3</xdr:row>
      <xdr:rowOff>56805</xdr:rowOff>
    </xdr:from>
    <xdr:to>
      <xdr:col>37</xdr:col>
      <xdr:colOff>151935</xdr:colOff>
      <xdr:row>3</xdr:row>
      <xdr:rowOff>57165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248ABA1F-A461-6E66-07A6-A1C422641A47}"/>
                </a:ext>
              </a:extLst>
            </xdr14:cNvPr>
            <xdr14:cNvContentPartPr/>
          </xdr14:nvContentPartPr>
          <xdr14:nvPr macro=""/>
          <xdr14:xfrm>
            <a:off x="14935095" y="1266480"/>
            <a:ext cx="360" cy="360"/>
          </xdr14:xfrm>
        </xdr:contentPart>
      </mc:Choice>
      <mc:Fallback>
        <xdr:pic>
          <xdr:nvPicPr>
            <xdr:cNvPr id="3" name="Ink 2">
              <a:extLst>
                <a:ext uri="{FF2B5EF4-FFF2-40B4-BE49-F238E27FC236}">
                  <a16:creationId xmlns:a16="http://schemas.microsoft.com/office/drawing/2014/main" id="{248ABA1F-A461-6E66-07A6-A1C422641A47}"/>
                </a:ext>
              </a:extLst>
            </xdr:cNvPr>
            <xdr:cNvPicPr/>
          </xdr:nvPicPr>
          <xdr:blipFill>
            <a:blip xmlns:r="http://schemas.openxmlformats.org/officeDocument/2006/relationships" r:embed="rId2"/>
            <a:stretch>
              <a:fillRect/>
            </a:stretch>
          </xdr:blipFill>
          <xdr:spPr>
            <a:xfrm>
              <a:off x="14928975" y="1260360"/>
              <a:ext cx="12600" cy="126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63500</xdr:rowOff>
        </xdr:from>
        <xdr:to>
          <xdr:col>63</xdr:col>
          <xdr:colOff>228600</xdr:colOff>
          <xdr:row>7</xdr:row>
          <xdr:rowOff>234950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06:01:55.037"/>
    </inkml:context>
    <inkml:brush xml:id="br0">
      <inkml:brushProperty name="width" value="0.035" units="cm"/>
      <inkml:brushProperty name="height" value="0.035" units="cm"/>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10-02T06:01:57.481"/>
    </inkml:context>
    <inkml:brush xml:id="br0">
      <inkml:brushProperty name="width" value="0.035" units="cm"/>
      <inkml:brushProperty name="height" value="0.035" units="cm"/>
    </inkml:brush>
  </inkml:definitions>
  <inkml:trace contextRef="#ctx0" brushRef="#br0">0 1 24575</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62" dataDxfId="6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60"/>
    <tableColumn id="2" xr3:uid="{39BD914E-FB02-4352-846C-6D59624DC0B0}" name="Category" dataDxfId="59"/>
    <tableColumn id="3" xr3:uid="{D274194F-BCA0-44F3-84B2-217254EE241C}" name="Assigned to" dataDxfId="58"/>
    <tableColumn id="4" xr3:uid="{8385BC6F-56EE-4363-A106-8DB0A1E4EF5A}" name="Progress" dataDxfId="57"/>
    <tableColumn id="5" xr3:uid="{02926609-7B93-4B6F-BE96-92EC7A949E4B}" name="Start" dataDxfId="56" dataCellStyle="Date"/>
    <tableColumn id="6" xr3:uid="{8FF9BE8E-04B7-4B39-AC27-D2E534204BC3}" name="Days" dataDxfId="55"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7" totalsRowShown="0" headerRowDxfId="54">
  <autoFilter ref="B9:G37"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53"/>
    <tableColumn id="2" xr3:uid="{529EEF64-D037-4ACF-8CA4-0C10FE2D1FBB}" name="Category" dataDxfId="52"/>
    <tableColumn id="3" xr3:uid="{711D01BA-2785-403A-9636-CCC7E2ADA584}" name="Assigned to" dataDxfId="51"/>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5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9"/>
    <tableColumn id="2" xr3:uid="{4492A0B8-068F-4002-9E8D-E1F5FED367F0}" name="Category" dataDxfId="48"/>
    <tableColumn id="3" xr3:uid="{DF1A764E-7050-4528-B7F9-B6AB99372146}" name="Assigned to" dataDxfId="47"/>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08984375" defaultRowHeight="13" x14ac:dyDescent="0.3"/>
  <cols>
    <col min="1" max="1" width="4.81640625" style="8" customWidth="1"/>
    <col min="2" max="2" width="2.81640625" style="8" customWidth="1"/>
    <col min="3" max="5" width="40.81640625" style="6" customWidth="1"/>
    <col min="6" max="6" width="2.81640625" style="6" customWidth="1"/>
    <col min="7" max="16384" width="9.08984375" style="6"/>
  </cols>
  <sheetData>
    <row r="1" spans="1:13" s="7" customFormat="1" ht="28.5" x14ac:dyDescent="0.6">
      <c r="D1" s="105"/>
    </row>
    <row r="2" spans="1:13" ht="50.15" customHeight="1" x14ac:dyDescent="0.6">
      <c r="A2" s="7"/>
      <c r="B2" s="111"/>
      <c r="C2" s="127" t="s">
        <v>29</v>
      </c>
      <c r="D2" s="127"/>
      <c r="E2" s="127"/>
      <c r="F2" s="111"/>
      <c r="G2" s="7"/>
      <c r="H2" s="7"/>
      <c r="I2" s="7"/>
      <c r="J2" s="7"/>
      <c r="K2" s="7"/>
      <c r="L2" s="7"/>
      <c r="M2" s="7"/>
    </row>
    <row r="3" spans="1:13" ht="14.4" customHeight="1" x14ac:dyDescent="0.6">
      <c r="A3" s="7"/>
      <c r="B3" s="106"/>
      <c r="C3" s="107"/>
      <c r="D3" s="108"/>
      <c r="E3" s="106"/>
      <c r="F3" s="106"/>
      <c r="G3" s="7"/>
      <c r="H3" s="7"/>
      <c r="I3" s="7"/>
      <c r="J3" s="7"/>
      <c r="K3" s="7"/>
      <c r="L3" s="7"/>
      <c r="M3" s="7"/>
    </row>
    <row r="4" spans="1:13" s="8" customFormat="1" ht="67" customHeight="1" x14ac:dyDescent="0.6">
      <c r="A4" s="7"/>
      <c r="B4" s="106"/>
      <c r="C4" s="128" t="s">
        <v>32</v>
      </c>
      <c r="D4" s="128"/>
      <c r="E4" s="128"/>
      <c r="F4" s="106"/>
      <c r="G4" s="7"/>
      <c r="H4" s="7"/>
      <c r="I4" s="7"/>
      <c r="J4" s="7"/>
      <c r="K4" s="7"/>
      <c r="L4" s="7"/>
      <c r="M4" s="7"/>
    </row>
    <row r="5" spans="1:13" s="8" customFormat="1" ht="67" customHeight="1" x14ac:dyDescent="0.6">
      <c r="A5" s="7"/>
      <c r="B5" s="106"/>
      <c r="C5" s="128" t="s">
        <v>33</v>
      </c>
      <c r="D5" s="128"/>
      <c r="E5" s="128"/>
      <c r="F5" s="106"/>
      <c r="G5" s="7"/>
      <c r="H5" s="7"/>
      <c r="I5" s="7"/>
      <c r="J5" s="7"/>
      <c r="K5" s="7"/>
      <c r="L5" s="7"/>
      <c r="M5" s="7"/>
    </row>
    <row r="6" spans="1:13" ht="14.5" x14ac:dyDescent="0.35">
      <c r="A6" s="6"/>
      <c r="B6" s="109"/>
      <c r="C6" s="109"/>
      <c r="D6" s="110"/>
      <c r="E6" s="109"/>
      <c r="F6" s="109"/>
    </row>
    <row r="7" spans="1:13" ht="50.15" customHeight="1" x14ac:dyDescent="0.3">
      <c r="A7" s="6"/>
      <c r="B7" s="6"/>
    </row>
    <row r="8" spans="1:13" ht="14.4" customHeight="1" x14ac:dyDescent="0.3">
      <c r="A8" s="6"/>
      <c r="B8" s="6"/>
    </row>
    <row r="9" spans="1:13" ht="90" customHeight="1" x14ac:dyDescent="0.3">
      <c r="C9" s="8"/>
      <c r="D9" s="8"/>
      <c r="E9" s="8"/>
      <c r="F9" s="8"/>
      <c r="G9" s="8"/>
      <c r="H9" s="8"/>
    </row>
    <row r="10" spans="1:13" ht="14.4"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defaultColWidth="8.90625" defaultRowHeight="30" customHeight="1" x14ac:dyDescent="0.35"/>
  <cols>
    <col min="1" max="1" width="4.81640625" style="9" customWidth="1"/>
    <col min="2" max="2" width="30.81640625" customWidth="1"/>
    <col min="3" max="3" width="13.36328125" bestFit="1" customWidth="1"/>
    <col min="4" max="4" width="20.54296875" customWidth="1"/>
    <col min="5" max="5" width="15.81640625" customWidth="1"/>
    <col min="6" max="6" width="10.453125" style="2" customWidth="1"/>
    <col min="7" max="7" width="10.453125" customWidth="1"/>
    <col min="8" max="8" width="2.6328125" customWidth="1"/>
    <col min="9" max="64" width="3.54296875" customWidth="1"/>
    <col min="65" max="65" width="2.6328125" customWidth="1"/>
  </cols>
  <sheetData>
    <row r="1" spans="1:68" ht="25" customHeight="1" x14ac:dyDescent="0.35"/>
    <row r="2" spans="1:68" ht="50" customHeight="1" x14ac:dyDescent="0.35">
      <c r="A2" s="10"/>
      <c r="B2" s="131" t="s">
        <v>30</v>
      </c>
      <c r="C2" s="131"/>
      <c r="D2" s="131"/>
      <c r="E2" s="131"/>
      <c r="F2" s="131"/>
      <c r="G2" s="131"/>
      <c r="H2" s="131"/>
      <c r="I2" s="132"/>
      <c r="J2" s="132"/>
      <c r="K2" s="132"/>
      <c r="L2" s="132"/>
      <c r="M2" s="132"/>
      <c r="N2" s="132"/>
      <c r="O2" s="133"/>
      <c r="P2" s="133"/>
      <c r="Q2" s="133"/>
      <c r="R2" s="133"/>
      <c r="S2" s="133"/>
      <c r="T2" s="133"/>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20" customHeight="1" x14ac:dyDescent="0.35">
      <c r="A3" s="10"/>
      <c r="B3" s="66"/>
      <c r="C3" s="67"/>
      <c r="D3" s="68"/>
      <c r="E3" s="68"/>
      <c r="F3" s="69"/>
      <c r="G3" s="68"/>
      <c r="H3" s="68"/>
      <c r="I3" s="82"/>
      <c r="J3" s="1"/>
      <c r="K3" s="1"/>
      <c r="L3" s="1"/>
    </row>
    <row r="4" spans="1:68" ht="30" customHeight="1" x14ac:dyDescent="0.35">
      <c r="A4" s="10"/>
      <c r="B4" s="70" t="s">
        <v>34</v>
      </c>
      <c r="C4" s="71"/>
      <c r="D4" s="72"/>
      <c r="E4" s="73"/>
      <c r="F4" s="74"/>
      <c r="G4" s="75" t="s">
        <v>15</v>
      </c>
      <c r="H4" s="73"/>
      <c r="I4" s="134" t="s">
        <v>21</v>
      </c>
      <c r="J4" s="134"/>
      <c r="K4" s="134"/>
      <c r="L4" s="134"/>
      <c r="N4" s="135" t="s">
        <v>22</v>
      </c>
      <c r="O4" s="135"/>
      <c r="P4" s="135"/>
      <c r="Q4" s="135"/>
      <c r="S4" s="136" t="s">
        <v>23</v>
      </c>
      <c r="T4" s="136"/>
      <c r="U4" s="136"/>
      <c r="V4" s="136"/>
      <c r="X4" s="129" t="s">
        <v>24</v>
      </c>
      <c r="Y4" s="129"/>
      <c r="Z4" s="129"/>
      <c r="AA4" s="129"/>
      <c r="AC4" s="130" t="s">
        <v>16</v>
      </c>
      <c r="AD4" s="130"/>
      <c r="AE4" s="130"/>
      <c r="AF4" s="130"/>
    </row>
    <row r="5" spans="1:68" ht="30" customHeight="1" x14ac:dyDescent="0.35">
      <c r="A5" s="10"/>
      <c r="B5" s="124" t="s">
        <v>35</v>
      </c>
      <c r="C5" s="72"/>
      <c r="D5" s="72"/>
      <c r="E5" s="73"/>
      <c r="F5" s="74"/>
      <c r="G5" s="73"/>
      <c r="H5" s="73"/>
    </row>
    <row r="6" spans="1:68" ht="30" customHeight="1" x14ac:dyDescent="0.5">
      <c r="A6" s="10"/>
      <c r="B6" s="77" t="s">
        <v>59</v>
      </c>
      <c r="C6" s="78" cm="1">
        <f t="array" aca="1" ref="C6" ca="1">IFERROR(IF(MIN(Milestones4352[Start])=0,TODAY(),B11(Milestones4352[Start])),TODAY())</f>
        <v>46297</v>
      </c>
      <c r="D6" s="79"/>
      <c r="E6" s="73"/>
      <c r="F6" s="74"/>
      <c r="G6" s="73"/>
      <c r="H6" s="73"/>
      <c r="I6" s="89" t="str">
        <f ca="1">TEXT(I7,"mmmm")</f>
        <v>October</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November</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35">
      <c r="A7" s="10"/>
      <c r="B7" s="77" t="s">
        <v>60</v>
      </c>
      <c r="C7" s="80">
        <v>5</v>
      </c>
      <c r="D7" s="72"/>
      <c r="E7" s="73"/>
      <c r="F7" s="73"/>
      <c r="G7" s="73"/>
      <c r="H7" s="81"/>
      <c r="I7" s="96">
        <f ca="1">IFERROR(Project_Start+Scrolling_Increment,TODAY())</f>
        <v>46302</v>
      </c>
      <c r="J7" s="97">
        <f ca="1">I7+1</f>
        <v>46303</v>
      </c>
      <c r="K7" s="97">
        <f t="shared" ref="K7:AX7" ca="1" si="0">J7+1</f>
        <v>46304</v>
      </c>
      <c r="L7" s="97">
        <f t="shared" ca="1" si="0"/>
        <v>46305</v>
      </c>
      <c r="M7" s="97">
        <f t="shared" ca="1" si="0"/>
        <v>46306</v>
      </c>
      <c r="N7" s="97">
        <f t="shared" ca="1" si="0"/>
        <v>46307</v>
      </c>
      <c r="O7" s="98">
        <f t="shared" ca="1" si="0"/>
        <v>46308</v>
      </c>
      <c r="P7" s="97">
        <f ca="1">O7+1</f>
        <v>46309</v>
      </c>
      <c r="Q7" s="97">
        <f ca="1">P7+1</f>
        <v>46310</v>
      </c>
      <c r="R7" s="97">
        <f t="shared" ca="1" si="0"/>
        <v>46311</v>
      </c>
      <c r="S7" s="97">
        <f t="shared" ca="1" si="0"/>
        <v>46312</v>
      </c>
      <c r="T7" s="97">
        <f t="shared" ca="1" si="0"/>
        <v>46313</v>
      </c>
      <c r="U7" s="97">
        <f t="shared" ca="1" si="0"/>
        <v>46314</v>
      </c>
      <c r="V7" s="98">
        <f t="shared" ca="1" si="0"/>
        <v>46315</v>
      </c>
      <c r="W7" s="97">
        <f ca="1">V7+1</f>
        <v>46316</v>
      </c>
      <c r="X7" s="97">
        <f ca="1">W7+1</f>
        <v>46317</v>
      </c>
      <c r="Y7" s="97">
        <f t="shared" ca="1" si="0"/>
        <v>46318</v>
      </c>
      <c r="Z7" s="97">
        <f t="shared" ca="1" si="0"/>
        <v>46319</v>
      </c>
      <c r="AA7" s="97">
        <f t="shared" ca="1" si="0"/>
        <v>46320</v>
      </c>
      <c r="AB7" s="97">
        <f t="shared" ca="1" si="0"/>
        <v>46321</v>
      </c>
      <c r="AC7" s="98">
        <f t="shared" ca="1" si="0"/>
        <v>46322</v>
      </c>
      <c r="AD7" s="97">
        <f ca="1">AC7+1</f>
        <v>46323</v>
      </c>
      <c r="AE7" s="97">
        <f ca="1">AD7+1</f>
        <v>46324</v>
      </c>
      <c r="AF7" s="97">
        <f t="shared" ca="1" si="0"/>
        <v>46325</v>
      </c>
      <c r="AG7" s="97">
        <f t="shared" ca="1" si="0"/>
        <v>46326</v>
      </c>
      <c r="AH7" s="97">
        <f t="shared" ca="1" si="0"/>
        <v>46327</v>
      </c>
      <c r="AI7" s="97">
        <f t="shared" ca="1" si="0"/>
        <v>46328</v>
      </c>
      <c r="AJ7" s="98">
        <f t="shared" ca="1" si="0"/>
        <v>46329</v>
      </c>
      <c r="AK7" s="97">
        <f ca="1">AJ7+1</f>
        <v>46330</v>
      </c>
      <c r="AL7" s="97">
        <f ca="1">AK7+1</f>
        <v>46331</v>
      </c>
      <c r="AM7" s="97">
        <f t="shared" ca="1" si="0"/>
        <v>46332</v>
      </c>
      <c r="AN7" s="97">
        <f t="shared" ca="1" si="0"/>
        <v>46333</v>
      </c>
      <c r="AO7" s="97">
        <f t="shared" ca="1" si="0"/>
        <v>46334</v>
      </c>
      <c r="AP7" s="97">
        <f t="shared" ca="1" si="0"/>
        <v>46335</v>
      </c>
      <c r="AQ7" s="98">
        <f t="shared" ca="1" si="0"/>
        <v>46336</v>
      </c>
      <c r="AR7" s="97">
        <f ca="1">AQ7+1</f>
        <v>46337</v>
      </c>
      <c r="AS7" s="97">
        <f ca="1">AR7+1</f>
        <v>46338</v>
      </c>
      <c r="AT7" s="97">
        <f t="shared" ca="1" si="0"/>
        <v>46339</v>
      </c>
      <c r="AU7" s="97">
        <f t="shared" ca="1" si="0"/>
        <v>46340</v>
      </c>
      <c r="AV7" s="97">
        <f t="shared" ca="1" si="0"/>
        <v>46341</v>
      </c>
      <c r="AW7" s="97">
        <f t="shared" ca="1" si="0"/>
        <v>46342</v>
      </c>
      <c r="AX7" s="98">
        <f t="shared" ca="1" si="0"/>
        <v>46343</v>
      </c>
      <c r="AY7" s="97">
        <f ca="1">AX7+1</f>
        <v>46344</v>
      </c>
      <c r="AZ7" s="97">
        <f ca="1">AY7+1</f>
        <v>46345</v>
      </c>
      <c r="BA7" s="97">
        <f t="shared" ref="BA7:BE7" ca="1" si="1">AZ7+1</f>
        <v>46346</v>
      </c>
      <c r="BB7" s="97">
        <f t="shared" ca="1" si="1"/>
        <v>46347</v>
      </c>
      <c r="BC7" s="97">
        <f t="shared" ca="1" si="1"/>
        <v>46348</v>
      </c>
      <c r="BD7" s="97">
        <f t="shared" ca="1" si="1"/>
        <v>46349</v>
      </c>
      <c r="BE7" s="98">
        <f t="shared" ca="1" si="1"/>
        <v>46350</v>
      </c>
      <c r="BF7" s="97">
        <f ca="1">BE7+1</f>
        <v>46351</v>
      </c>
      <c r="BG7" s="97">
        <f ca="1">BF7+1</f>
        <v>46352</v>
      </c>
      <c r="BH7" s="97">
        <f t="shared" ref="BH7:BL7" ca="1" si="2">BG7+1</f>
        <v>46353</v>
      </c>
      <c r="BI7" s="97">
        <f t="shared" ca="1" si="2"/>
        <v>46354</v>
      </c>
      <c r="BJ7" s="97">
        <f t="shared" ca="1" si="2"/>
        <v>46355</v>
      </c>
      <c r="BK7" s="97">
        <f t="shared" ca="1" si="2"/>
        <v>46356</v>
      </c>
      <c r="BL7" s="98">
        <f t="shared" ca="1" si="2"/>
        <v>46357</v>
      </c>
    </row>
    <row r="8" spans="1:68" ht="20" customHeight="1" x14ac:dyDescent="0.35">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35">
      <c r="A9" s="10"/>
      <c r="B9" s="112" t="s">
        <v>18</v>
      </c>
      <c r="C9" s="113" t="s">
        <v>6</v>
      </c>
      <c r="D9" s="113" t="s">
        <v>19</v>
      </c>
      <c r="E9" s="113" t="s">
        <v>9</v>
      </c>
      <c r="F9" s="113" t="s">
        <v>10</v>
      </c>
      <c r="G9" s="113" t="s">
        <v>20</v>
      </c>
      <c r="H9" s="86"/>
      <c r="I9" s="104" t="str">
        <f t="shared" ref="I9:BL9" ca="1" si="3">LEFT(TEXT(I7,"ddd"),1)</f>
        <v>W</v>
      </c>
      <c r="J9" s="104" t="str">
        <f t="shared" ca="1" si="3"/>
        <v>T</v>
      </c>
      <c r="K9" s="104" t="str">
        <f t="shared" ca="1" si="3"/>
        <v>F</v>
      </c>
      <c r="L9" s="104" t="str">
        <f t="shared" ca="1" si="3"/>
        <v>S</v>
      </c>
      <c r="M9" s="104" t="str">
        <f t="shared" ca="1" si="3"/>
        <v>S</v>
      </c>
      <c r="N9" s="104" t="str">
        <f t="shared" ca="1" si="3"/>
        <v>M</v>
      </c>
      <c r="O9" s="104" t="str">
        <f t="shared" ca="1" si="3"/>
        <v>T</v>
      </c>
      <c r="P9" s="104" t="str">
        <f t="shared" ca="1" si="3"/>
        <v>W</v>
      </c>
      <c r="Q9" s="104" t="str">
        <f t="shared" ca="1" si="3"/>
        <v>T</v>
      </c>
      <c r="R9" s="104" t="str">
        <f t="shared" ca="1" si="3"/>
        <v>F</v>
      </c>
      <c r="S9" s="104" t="str">
        <f t="shared" ca="1" si="3"/>
        <v>S</v>
      </c>
      <c r="T9" s="104" t="str">
        <f t="shared" ca="1" si="3"/>
        <v>S</v>
      </c>
      <c r="U9" s="104" t="str">
        <f t="shared" ca="1" si="3"/>
        <v>M</v>
      </c>
      <c r="V9" s="104" t="str">
        <f t="shared" ca="1" si="3"/>
        <v>T</v>
      </c>
      <c r="W9" s="104" t="str">
        <f t="shared" ca="1" si="3"/>
        <v>W</v>
      </c>
      <c r="X9" s="104" t="str">
        <f t="shared" ca="1" si="3"/>
        <v>T</v>
      </c>
      <c r="Y9" s="104" t="str">
        <f t="shared" ca="1" si="3"/>
        <v>F</v>
      </c>
      <c r="Z9" s="104" t="str">
        <f t="shared" ca="1" si="3"/>
        <v>S</v>
      </c>
      <c r="AA9" s="104" t="str">
        <f t="shared" ca="1" si="3"/>
        <v>S</v>
      </c>
      <c r="AB9" s="104" t="str">
        <f t="shared" ca="1" si="3"/>
        <v>M</v>
      </c>
      <c r="AC9" s="104" t="str">
        <f t="shared" ca="1" si="3"/>
        <v>T</v>
      </c>
      <c r="AD9" s="104" t="str">
        <f t="shared" ca="1" si="3"/>
        <v>W</v>
      </c>
      <c r="AE9" s="104" t="str">
        <f t="shared" ca="1" si="3"/>
        <v>T</v>
      </c>
      <c r="AF9" s="104" t="str">
        <f t="shared" ca="1" si="3"/>
        <v>F</v>
      </c>
      <c r="AG9" s="104" t="str">
        <f t="shared" ca="1" si="3"/>
        <v>S</v>
      </c>
      <c r="AH9" s="104" t="str">
        <f t="shared" ca="1" si="3"/>
        <v>S</v>
      </c>
      <c r="AI9" s="104" t="str">
        <f t="shared" ca="1" si="3"/>
        <v>M</v>
      </c>
      <c r="AJ9" s="104" t="str">
        <f t="shared" ca="1" si="3"/>
        <v>T</v>
      </c>
      <c r="AK9" s="104" t="str">
        <f t="shared" ca="1" si="3"/>
        <v>W</v>
      </c>
      <c r="AL9" s="104" t="str">
        <f t="shared" ca="1" si="3"/>
        <v>T</v>
      </c>
      <c r="AM9" s="104" t="str">
        <f t="shared" ca="1" si="3"/>
        <v>F</v>
      </c>
      <c r="AN9" s="104" t="str">
        <f t="shared" ca="1" si="3"/>
        <v>S</v>
      </c>
      <c r="AO9" s="104" t="str">
        <f t="shared" ca="1" si="3"/>
        <v>S</v>
      </c>
      <c r="AP9" s="104" t="str">
        <f t="shared" ca="1" si="3"/>
        <v>M</v>
      </c>
      <c r="AQ9" s="104" t="str">
        <f t="shared" ca="1" si="3"/>
        <v>T</v>
      </c>
      <c r="AR9" s="104" t="str">
        <f t="shared" ca="1" si="3"/>
        <v>W</v>
      </c>
      <c r="AS9" s="104" t="str">
        <f t="shared" ca="1" si="3"/>
        <v>T</v>
      </c>
      <c r="AT9" s="104" t="str">
        <f t="shared" ca="1" si="3"/>
        <v>F</v>
      </c>
      <c r="AU9" s="104" t="str">
        <f t="shared" ca="1" si="3"/>
        <v>S</v>
      </c>
      <c r="AV9" s="104" t="str">
        <f t="shared" ca="1" si="3"/>
        <v>S</v>
      </c>
      <c r="AW9" s="104" t="str">
        <f t="shared" ca="1" si="3"/>
        <v>M</v>
      </c>
      <c r="AX9" s="104" t="str">
        <f t="shared" ca="1" si="3"/>
        <v>T</v>
      </c>
      <c r="AY9" s="104" t="str">
        <f t="shared" ca="1" si="3"/>
        <v>W</v>
      </c>
      <c r="AZ9" s="104" t="str">
        <f t="shared" ca="1" si="3"/>
        <v>T</v>
      </c>
      <c r="BA9" s="104" t="str">
        <f t="shared" ca="1" si="3"/>
        <v>F</v>
      </c>
      <c r="BB9" s="104" t="str">
        <f t="shared" ca="1" si="3"/>
        <v>S</v>
      </c>
      <c r="BC9" s="104" t="str">
        <f t="shared" ca="1" si="3"/>
        <v>S</v>
      </c>
      <c r="BD9" s="104" t="str">
        <f t="shared" ca="1" si="3"/>
        <v>M</v>
      </c>
      <c r="BE9" s="104" t="str">
        <f t="shared" ca="1" si="3"/>
        <v>T</v>
      </c>
      <c r="BF9" s="104" t="str">
        <f t="shared" ca="1" si="3"/>
        <v>W</v>
      </c>
      <c r="BG9" s="104" t="str">
        <f t="shared" ca="1" si="3"/>
        <v>T</v>
      </c>
      <c r="BH9" s="104" t="str">
        <f t="shared" ca="1" si="3"/>
        <v>F</v>
      </c>
      <c r="BI9" s="104" t="str">
        <f t="shared" ca="1" si="3"/>
        <v>S</v>
      </c>
      <c r="BJ9" s="104" t="str">
        <f t="shared" ca="1" si="3"/>
        <v>S</v>
      </c>
      <c r="BK9" s="104" t="str">
        <f t="shared" ca="1" si="3"/>
        <v>M</v>
      </c>
      <c r="BL9" s="104" t="str">
        <f t="shared" ca="1" si="3"/>
        <v>T</v>
      </c>
    </row>
    <row r="10" spans="1:68" ht="30" hidden="1" customHeight="1" thickBot="1" x14ac:dyDescent="0.4">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35">
      <c r="A11" s="10"/>
      <c r="B11" s="122" t="s">
        <v>36</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35">
      <c r="A12" s="10"/>
      <c r="B12" s="123" t="s">
        <v>37</v>
      </c>
      <c r="C12" s="57" t="s">
        <v>7</v>
      </c>
      <c r="D12" s="57" t="s">
        <v>5</v>
      </c>
      <c r="E12" s="58">
        <v>0.25</v>
      </c>
      <c r="F12" s="59">
        <f ca="1">TODAY()</f>
        <v>46297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35">
      <c r="A13" s="10"/>
      <c r="B13" s="123" t="s">
        <v>38</v>
      </c>
      <c r="C13" s="57" t="s">
        <v>8</v>
      </c>
      <c r="D13" s="57"/>
      <c r="E13" s="58"/>
      <c r="F13" s="59">
        <f ca="1">TODAY()+5</f>
        <v>46302</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35">
      <c r="A14" s="9"/>
      <c r="B14" s="123" t="s">
        <v>39</v>
      </c>
      <c r="C14" s="57" t="s">
        <v>12</v>
      </c>
      <c r="D14" s="57"/>
      <c r="E14" s="58">
        <v>0.5</v>
      </c>
      <c r="F14" s="59">
        <f ca="1">F12-3</f>
        <v>46294</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35">
      <c r="A15" s="9"/>
      <c r="B15" s="123" t="s">
        <v>40</v>
      </c>
      <c r="C15" s="57" t="s">
        <v>8</v>
      </c>
      <c r="D15" s="57"/>
      <c r="E15" s="58"/>
      <c r="F15" s="59">
        <f ca="1">F12+20</f>
        <v>46317</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35">
      <c r="A16" s="9"/>
      <c r="B16" s="123" t="s">
        <v>41</v>
      </c>
      <c r="C16" s="57" t="s">
        <v>11</v>
      </c>
      <c r="D16" s="57"/>
      <c r="E16" s="58">
        <v>0.1</v>
      </c>
      <c r="F16" s="59">
        <f ca="1">F12+6</f>
        <v>46303</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35">
      <c r="A17" s="10"/>
      <c r="B17" s="122" t="s">
        <v>42</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35">
      <c r="A18" s="10"/>
      <c r="B18" s="123" t="s">
        <v>43</v>
      </c>
      <c r="C18" s="57" t="s">
        <v>13</v>
      </c>
      <c r="D18" s="57"/>
      <c r="E18" s="58">
        <v>0.6</v>
      </c>
      <c r="F18" s="59">
        <f ca="1">F12+6</f>
        <v>46303</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35">
      <c r="A19" s="9"/>
      <c r="B19" s="123" t="s">
        <v>44</v>
      </c>
      <c r="C19" s="57" t="s">
        <v>14</v>
      </c>
      <c r="D19" s="57"/>
      <c r="E19" s="58">
        <v>0.5</v>
      </c>
      <c r="F19" s="59">
        <f ca="1">F18+2</f>
        <v>46305</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35">
      <c r="A20" s="9"/>
      <c r="B20" s="123" t="s">
        <v>45</v>
      </c>
      <c r="C20" s="57" t="s">
        <v>12</v>
      </c>
      <c r="D20" s="57"/>
      <c r="E20" s="58">
        <v>0.33</v>
      </c>
      <c r="F20" s="59">
        <f ca="1">F19+5</f>
        <v>46310</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35">
      <c r="A21" s="9"/>
      <c r="B21" s="123" t="s">
        <v>46</v>
      </c>
      <c r="C21" s="57" t="s">
        <v>8</v>
      </c>
      <c r="D21" s="57"/>
      <c r="E21" s="58"/>
      <c r="F21" s="59">
        <f ca="1">F20+2</f>
        <v>46312</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35">
      <c r="A22" s="9"/>
      <c r="B22" s="123" t="s">
        <v>47</v>
      </c>
      <c r="C22" s="57"/>
      <c r="D22" s="57"/>
      <c r="E22" s="58"/>
      <c r="F22" s="59">
        <f ca="1">F21+1</f>
        <v>46313</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35">
      <c r="A23" s="9"/>
      <c r="B23" s="122" t="s">
        <v>48</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35">
      <c r="A24" s="9"/>
      <c r="B24" s="123" t="s">
        <v>49</v>
      </c>
      <c r="C24" s="57" t="s">
        <v>14</v>
      </c>
      <c r="D24" s="57"/>
      <c r="E24" s="58"/>
      <c r="F24" s="59">
        <f ca="1">F12+15</f>
        <v>46312</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35">
      <c r="A25" s="9"/>
      <c r="B25" s="123" t="s">
        <v>50</v>
      </c>
      <c r="C25" s="57" t="s">
        <v>11</v>
      </c>
      <c r="D25" s="57"/>
      <c r="E25" s="58"/>
      <c r="F25" s="59">
        <f ca="1">F24+3</f>
        <v>46315</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35">
      <c r="A26" s="9"/>
      <c r="B26" s="123" t="s">
        <v>51</v>
      </c>
      <c r="C26" s="57" t="s">
        <v>14</v>
      </c>
      <c r="D26" s="57"/>
      <c r="E26" s="58"/>
      <c r="F26" s="59">
        <f ca="1">F25+15</f>
        <v>46330</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35">
      <c r="A27" s="9"/>
      <c r="B27" s="123" t="s">
        <v>52</v>
      </c>
      <c r="C27" s="57" t="s">
        <v>7</v>
      </c>
      <c r="D27" s="57"/>
      <c r="E27" s="58"/>
      <c r="F27" s="59">
        <f ca="1">F21+22</f>
        <v>46334</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35">
      <c r="A28" s="9"/>
      <c r="B28" s="123" t="s">
        <v>53</v>
      </c>
      <c r="C28" s="57" t="s">
        <v>12</v>
      </c>
      <c r="D28" s="57"/>
      <c r="E28" s="58"/>
      <c r="F28" s="59">
        <f ca="1">F16</f>
        <v>46303</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35">
      <c r="A29" s="9"/>
      <c r="B29" s="122" t="s">
        <v>54</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35">
      <c r="A30" s="9"/>
      <c r="B30" s="123" t="s">
        <v>55</v>
      </c>
      <c r="C30" s="57"/>
      <c r="D30" s="57"/>
      <c r="E30" s="58"/>
      <c r="F30" s="59">
        <f ca="1">F27+3</f>
        <v>46337</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35">
      <c r="A31" s="9"/>
      <c r="B31" s="123" t="s">
        <v>56</v>
      </c>
      <c r="C31" s="57"/>
      <c r="D31" s="57"/>
      <c r="E31" s="58"/>
      <c r="F31" s="59">
        <f ca="1">F30+14</f>
        <v>46351</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35">
      <c r="A32" s="9"/>
      <c r="B32" s="123" t="s">
        <v>57</v>
      </c>
      <c r="C32" s="57" t="s">
        <v>8</v>
      </c>
      <c r="D32" s="57"/>
      <c r="E32" s="58"/>
      <c r="F32" s="59">
        <f ca="1">F31+42</f>
        <v>46393</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35">
      <c r="A33" s="9"/>
      <c r="B33" s="123" t="s">
        <v>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35">
      <c r="A34" s="9"/>
      <c r="B34" s="61" t="s">
        <v>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35">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 customHeight="1" x14ac:dyDescent="0.35">
      <c r="A36" s="10"/>
      <c r="B36" s="116" t="s">
        <v>17</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6" priority="4">
      <formula>I$7&lt;=EOMONTH($I$7,0)</formula>
    </cfRule>
  </conditionalFormatting>
  <conditionalFormatting sqref="I6:BL6">
    <cfRule type="expression" dxfId="45" priority="2">
      <formula>AND(I$7&lt;=EOMONTH($I$7,1),I$7&gt;EOMONTH($I$7,0))</formula>
    </cfRule>
  </conditionalFormatting>
  <conditionalFormatting sqref="I7:BL36">
    <cfRule type="expression" dxfId="44" priority="1">
      <formula>AND(TODAY()&gt;=I$7,TODAY()&lt;J$7)</formula>
    </cfRule>
  </conditionalFormatting>
  <conditionalFormatting sqref="I10:BL35">
    <cfRule type="expression" dxfId="43" priority="7" stopIfTrue="1">
      <formula>AND($C10="Low Risk",I$7&gt;=$F10,I$7&lt;=$F10+$G10-1)</formula>
    </cfRule>
    <cfRule type="expression" dxfId="42" priority="8" stopIfTrue="1">
      <formula>AND($C10="High Risk",I$7&gt;=$F10,I$7&lt;=$F10+$G10-1)</formula>
    </cfRule>
    <cfRule type="expression" dxfId="41" priority="9" stopIfTrue="1">
      <formula>AND($C10="On Track",I$7&gt;=$F10,I$7&lt;=$F10+$G10-1)</formula>
    </cfRule>
    <cfRule type="expression" dxfId="40" priority="10" stopIfTrue="1">
      <formula>AND($C10="Med Risk",I$7&gt;=$F10,I$7&lt;=$F10+$G10-1)</formula>
    </cfRule>
    <cfRule type="expression" dxfId="39" priority="11" stopIfTrue="1">
      <formula>AND(LEN($C10)=0,I$7&gt;=$F10,I$7&lt;=$F10+$G10-1)</formula>
    </cfRule>
  </conditionalFormatting>
  <conditionalFormatting sqref="I36:BL36">
    <cfRule type="expression" dxfId="38" priority="13" stopIfTrue="1">
      <formula>AND(#REF!="Low Risk",I$7&gt;=#REF!,I$7&lt;=#REF!+#REF!-1)</formula>
    </cfRule>
    <cfRule type="expression" dxfId="37" priority="14" stopIfTrue="1">
      <formula>AND(#REF!="High Risk",I$7&gt;=#REF!,I$7&lt;=#REF!+#REF!-1)</formula>
    </cfRule>
    <cfRule type="expression" dxfId="36" priority="15" stopIfTrue="1">
      <formula>AND(#REF!="On Track",I$7&gt;=#REF!,I$7&lt;=#REF!+#REF!-1)</formula>
    </cfRule>
    <cfRule type="expression" dxfId="35" priority="16" stopIfTrue="1">
      <formula>AND(#REF!="Med Risk",I$7&gt;=#REF!,I$7&lt;=#REF!+#REF!-1)</formula>
    </cfRule>
    <cfRule type="expression" dxfId="34" priority="17" stopIfTrue="1">
      <formula>AND(LEN(#REF!)=0,I$7&gt;=#REF!,I$7&lt;=#REF!+#REF!-1)</formula>
    </cfRule>
  </conditionalFormatting>
  <conditionalFormatting sqref="J6:BL6">
    <cfRule type="expression" dxfId="33"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31750</xdr:colOff>
                    <xdr:row>7</xdr:row>
                    <xdr:rowOff>63500</xdr:rowOff>
                  </from>
                  <to>
                    <xdr:col>63</xdr:col>
                    <xdr:colOff>228600</xdr:colOff>
                    <xdr:row>7</xdr:row>
                    <xdr:rowOff>234950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9"/>
  <sheetViews>
    <sheetView showGridLines="0" tabSelected="1" showRuler="0" topLeftCell="B14" zoomScaleNormal="100" zoomScalePageLayoutView="70" workbookViewId="0">
      <selection activeCell="C21" sqref="C21"/>
    </sheetView>
  </sheetViews>
  <sheetFormatPr defaultColWidth="8.90625" defaultRowHeight="30" customHeight="1" x14ac:dyDescent="0.35"/>
  <cols>
    <col min="1" max="1" width="4.81640625" style="9" customWidth="1"/>
    <col min="2" max="2" width="30.81640625" customWidth="1"/>
    <col min="3" max="3" width="13.36328125" bestFit="1" customWidth="1"/>
    <col min="4" max="4" width="27.81640625" customWidth="1"/>
    <col min="5" max="5" width="15.81640625" customWidth="1"/>
    <col min="6" max="6" width="10.453125" style="2" customWidth="1"/>
    <col min="7" max="7" width="10.453125" customWidth="1"/>
    <col min="8" max="8" width="2.6328125" customWidth="1"/>
    <col min="9" max="64" width="3.54296875" customWidth="1"/>
    <col min="65" max="65" width="2.6328125" customWidth="1"/>
  </cols>
  <sheetData>
    <row r="1" spans="1:68" ht="25" customHeight="1" x14ac:dyDescent="0.35"/>
    <row r="2" spans="1:68" ht="50" customHeight="1" x14ac:dyDescent="0.35">
      <c r="A2" s="10"/>
      <c r="B2" s="137" t="s">
        <v>62</v>
      </c>
      <c r="C2" s="137"/>
      <c r="D2" s="137"/>
      <c r="E2" s="137"/>
      <c r="F2" s="137"/>
      <c r="G2" s="137"/>
      <c r="H2" s="137"/>
      <c r="I2" s="138"/>
      <c r="J2" s="138"/>
      <c r="K2" s="138"/>
      <c r="L2" s="138"/>
      <c r="M2" s="138"/>
      <c r="N2" s="138"/>
      <c r="O2" s="139"/>
      <c r="P2" s="140"/>
      <c r="Q2" s="140"/>
      <c r="R2" s="140"/>
      <c r="S2" s="140"/>
      <c r="T2" s="14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 customHeight="1" x14ac:dyDescent="0.35">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35">
      <c r="A4" s="10"/>
      <c r="B4" s="52" t="s">
        <v>61</v>
      </c>
      <c r="C4" s="48"/>
      <c r="D4" s="49"/>
      <c r="E4" s="28"/>
      <c r="F4" s="29"/>
      <c r="G4" s="30" t="s">
        <v>15</v>
      </c>
      <c r="H4" s="28"/>
      <c r="I4" s="134" t="s">
        <v>88</v>
      </c>
      <c r="J4" s="134"/>
      <c r="K4" s="134"/>
      <c r="L4" s="134"/>
      <c r="M4" s="31"/>
      <c r="N4" s="31"/>
      <c r="O4" s="31"/>
      <c r="P4" s="31"/>
      <c r="Q4" s="130" t="s">
        <v>87</v>
      </c>
      <c r="R4" s="130"/>
      <c r="S4" s="130"/>
      <c r="T4" s="130"/>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35">
      <c r="A5" s="10"/>
      <c r="B5" s="53"/>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5">
      <c r="A6" s="10"/>
      <c r="B6" s="47" t="s">
        <v>59</v>
      </c>
      <c r="C6" s="33">
        <v>46276</v>
      </c>
      <c r="D6" s="51"/>
      <c r="E6" s="31"/>
      <c r="F6" s="32"/>
      <c r="G6" s="31"/>
      <c r="H6" s="28"/>
      <c r="I6" s="92" t="str">
        <f ca="1">TEXT(I7,"mmmm")</f>
        <v>September</v>
      </c>
      <c r="J6" s="92"/>
      <c r="K6" s="92"/>
      <c r="L6" s="92"/>
      <c r="M6" s="92"/>
      <c r="N6" s="92"/>
      <c r="O6" s="92"/>
      <c r="P6" s="92" t="str">
        <f ca="1">IF(TEXT(P7,"mmmm")=I6,"",TEXT(P7,"mmmm"))</f>
        <v/>
      </c>
      <c r="Q6" s="92"/>
      <c r="R6" s="92"/>
      <c r="S6" s="92"/>
      <c r="T6" s="92"/>
      <c r="U6" s="92"/>
      <c r="V6" s="92"/>
      <c r="W6" s="92" t="str">
        <f ca="1">IF(OR(TEXT(W7,"mmmm")=P6,TEXT(W7,"mmmm")=I6),"",TEXT(W7,"mmmm"))</f>
        <v/>
      </c>
      <c r="X6" s="92"/>
      <c r="Y6" s="92"/>
      <c r="Z6" s="92"/>
      <c r="AA6" s="92"/>
      <c r="AB6" s="92"/>
      <c r="AC6" s="92"/>
      <c r="AD6" s="92" t="str">
        <f ca="1">IF(OR(TEXT(AD7,"mmmm")=W6,TEXT(AD7,"mmmm")=P6,TEXT(AD7,"mmmm")=I6),"",TEXT(AD7,"mmmm"))</f>
        <v>October</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
      </c>
      <c r="AS6" s="92"/>
      <c r="AT6" s="92"/>
      <c r="AU6" s="92"/>
      <c r="AV6" s="92"/>
      <c r="AW6" s="92"/>
      <c r="AX6" s="92"/>
      <c r="AY6" s="92" t="str">
        <f ca="1">IF(OR(TEXT(AY7,"mmmm")=AR6,TEXT(AY7,"mmmm")=AK6,TEXT(AY7,"mmmm")=AD6,TEXT(AY7,"mmmm")=W6),"",TEXT(AY7,"mmmm"))</f>
        <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x14ac:dyDescent="0.35">
      <c r="A7" s="10"/>
      <c r="B7" s="47" t="s">
        <v>60</v>
      </c>
      <c r="C7" s="34">
        <v>0</v>
      </c>
      <c r="D7" s="50"/>
      <c r="E7" s="28"/>
      <c r="F7" s="28"/>
      <c r="G7" s="28"/>
      <c r="H7" s="28"/>
      <c r="I7" s="94">
        <f ca="1">IFERROR(Project_Start+Scrolling_Increment,TODAY())</f>
        <v>46276</v>
      </c>
      <c r="J7" s="17">
        <f ca="1">I7+1</f>
        <v>46277</v>
      </c>
      <c r="K7" s="17">
        <f t="shared" ref="K7:AX7" ca="1" si="0">J7+1</f>
        <v>46278</v>
      </c>
      <c r="L7" s="17">
        <f t="shared" ca="1" si="0"/>
        <v>46279</v>
      </c>
      <c r="M7" s="17">
        <f t="shared" ca="1" si="0"/>
        <v>46280</v>
      </c>
      <c r="N7" s="17">
        <f t="shared" ca="1" si="0"/>
        <v>46281</v>
      </c>
      <c r="O7" s="62">
        <f t="shared" ca="1" si="0"/>
        <v>46282</v>
      </c>
      <c r="P7" s="17">
        <f ca="1">O7+1</f>
        <v>46283</v>
      </c>
      <c r="Q7" s="17">
        <f ca="1">P7+1</f>
        <v>46284</v>
      </c>
      <c r="R7" s="17">
        <f t="shared" ca="1" si="0"/>
        <v>46285</v>
      </c>
      <c r="S7" s="17">
        <f t="shared" ca="1" si="0"/>
        <v>46286</v>
      </c>
      <c r="T7" s="17">
        <f t="shared" ca="1" si="0"/>
        <v>46287</v>
      </c>
      <c r="U7" s="17">
        <f t="shared" ca="1" si="0"/>
        <v>46288</v>
      </c>
      <c r="V7" s="62">
        <f t="shared" ca="1" si="0"/>
        <v>46289</v>
      </c>
      <c r="W7" s="17">
        <f ca="1">V7+1</f>
        <v>46290</v>
      </c>
      <c r="X7" s="17">
        <f ca="1">W7+1</f>
        <v>46291</v>
      </c>
      <c r="Y7" s="17">
        <f t="shared" ca="1" si="0"/>
        <v>46292</v>
      </c>
      <c r="Z7" s="17">
        <f t="shared" ca="1" si="0"/>
        <v>46293</v>
      </c>
      <c r="AA7" s="17">
        <f t="shared" ca="1" si="0"/>
        <v>46294</v>
      </c>
      <c r="AB7" s="17">
        <f t="shared" ca="1" si="0"/>
        <v>46295</v>
      </c>
      <c r="AC7" s="62">
        <f t="shared" ca="1" si="0"/>
        <v>46296</v>
      </c>
      <c r="AD7" s="17">
        <f ca="1">AC7+1</f>
        <v>46297</v>
      </c>
      <c r="AE7" s="17">
        <f ca="1">AD7+1</f>
        <v>46298</v>
      </c>
      <c r="AF7" s="17">
        <f t="shared" ca="1" si="0"/>
        <v>46299</v>
      </c>
      <c r="AG7" s="17">
        <f t="shared" ca="1" si="0"/>
        <v>46300</v>
      </c>
      <c r="AH7" s="17">
        <f t="shared" ca="1" si="0"/>
        <v>46301</v>
      </c>
      <c r="AI7" s="17">
        <f t="shared" ca="1" si="0"/>
        <v>46302</v>
      </c>
      <c r="AJ7" s="62">
        <f t="shared" ca="1" si="0"/>
        <v>46303</v>
      </c>
      <c r="AK7" s="17">
        <f ca="1">AJ7+1</f>
        <v>46304</v>
      </c>
      <c r="AL7" s="17">
        <f ca="1">AK7+1</f>
        <v>46305</v>
      </c>
      <c r="AM7" s="17">
        <f t="shared" ca="1" si="0"/>
        <v>46306</v>
      </c>
      <c r="AN7" s="17">
        <f t="shared" ca="1" si="0"/>
        <v>46307</v>
      </c>
      <c r="AO7" s="17">
        <f t="shared" ca="1" si="0"/>
        <v>46308</v>
      </c>
      <c r="AP7" s="17">
        <f t="shared" ca="1" si="0"/>
        <v>46309</v>
      </c>
      <c r="AQ7" s="62">
        <f t="shared" ca="1" si="0"/>
        <v>46310</v>
      </c>
      <c r="AR7" s="17">
        <f ca="1">AQ7+1</f>
        <v>46311</v>
      </c>
      <c r="AS7" s="17">
        <f ca="1">AR7+1</f>
        <v>46312</v>
      </c>
      <c r="AT7" s="17">
        <f t="shared" ca="1" si="0"/>
        <v>46313</v>
      </c>
      <c r="AU7" s="17">
        <f t="shared" ca="1" si="0"/>
        <v>46314</v>
      </c>
      <c r="AV7" s="17">
        <f t="shared" ca="1" si="0"/>
        <v>46315</v>
      </c>
      <c r="AW7" s="17">
        <f t="shared" ca="1" si="0"/>
        <v>46316</v>
      </c>
      <c r="AX7" s="62">
        <f t="shared" ca="1" si="0"/>
        <v>46317</v>
      </c>
      <c r="AY7" s="17">
        <f ca="1">AX7+1</f>
        <v>46318</v>
      </c>
      <c r="AZ7" s="17">
        <f ca="1">AY7+1</f>
        <v>46319</v>
      </c>
      <c r="BA7" s="17">
        <f t="shared" ref="BA7:BE7" ca="1" si="1">AZ7+1</f>
        <v>46320</v>
      </c>
      <c r="BB7" s="17">
        <f t="shared" ca="1" si="1"/>
        <v>46321</v>
      </c>
      <c r="BC7" s="17">
        <f t="shared" ca="1" si="1"/>
        <v>46322</v>
      </c>
      <c r="BD7" s="17">
        <f t="shared" ca="1" si="1"/>
        <v>46323</v>
      </c>
      <c r="BE7" s="62">
        <f t="shared" ca="1" si="1"/>
        <v>46324</v>
      </c>
      <c r="BF7" s="17">
        <f ca="1">BE7+1</f>
        <v>46325</v>
      </c>
      <c r="BG7" s="17">
        <f ca="1">BF7+1</f>
        <v>46326</v>
      </c>
      <c r="BH7" s="17">
        <f t="shared" ref="BH7:BL7" ca="1" si="2">BG7+1</f>
        <v>46327</v>
      </c>
      <c r="BI7" s="17">
        <f t="shared" ca="1" si="2"/>
        <v>46328</v>
      </c>
      <c r="BJ7" s="17">
        <f t="shared" ca="1" si="2"/>
        <v>46329</v>
      </c>
      <c r="BK7" s="17">
        <f t="shared" ca="1" si="2"/>
        <v>46330</v>
      </c>
      <c r="BL7" s="18">
        <f t="shared" ca="1" si="2"/>
        <v>46331</v>
      </c>
      <c r="BM7" s="31"/>
    </row>
    <row r="8" spans="1:68" ht="20" customHeight="1" x14ac:dyDescent="0.35">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 customHeight="1" x14ac:dyDescent="0.35">
      <c r="A9" s="10"/>
      <c r="B9" s="117" t="s">
        <v>18</v>
      </c>
      <c r="C9" s="118" t="s">
        <v>6</v>
      </c>
      <c r="D9" s="118" t="s">
        <v>19</v>
      </c>
      <c r="E9" s="118" t="s">
        <v>9</v>
      </c>
      <c r="F9" s="118" t="s">
        <v>10</v>
      </c>
      <c r="G9" s="118" t="s">
        <v>20</v>
      </c>
      <c r="H9" s="46"/>
      <c r="I9" s="36" t="str">
        <f t="shared" ref="I9:BL9" ca="1" si="3">LEFT(TEXT(I7,"ddd"),1)</f>
        <v>F</v>
      </c>
      <c r="J9" s="36" t="str">
        <f t="shared" ca="1" si="3"/>
        <v>S</v>
      </c>
      <c r="K9" s="36" t="str">
        <f t="shared" ca="1" si="3"/>
        <v>S</v>
      </c>
      <c r="L9" s="36" t="str">
        <f t="shared" ca="1" si="3"/>
        <v>M</v>
      </c>
      <c r="M9" s="36" t="str">
        <f t="shared" ca="1" si="3"/>
        <v>T</v>
      </c>
      <c r="N9" s="36" t="str">
        <f t="shared" ca="1" si="3"/>
        <v>W</v>
      </c>
      <c r="O9" s="36" t="str">
        <f t="shared" ca="1" si="3"/>
        <v>T</v>
      </c>
      <c r="P9" s="36" t="str">
        <f t="shared" ca="1" si="3"/>
        <v>F</v>
      </c>
      <c r="Q9" s="36" t="str">
        <f t="shared" ca="1" si="3"/>
        <v>S</v>
      </c>
      <c r="R9" s="36" t="str">
        <f t="shared" ca="1" si="3"/>
        <v>S</v>
      </c>
      <c r="S9" s="36" t="str">
        <f t="shared" ca="1" si="3"/>
        <v>M</v>
      </c>
      <c r="T9" s="36" t="str">
        <f t="shared" ca="1" si="3"/>
        <v>T</v>
      </c>
      <c r="U9" s="36" t="str">
        <f t="shared" ca="1" si="3"/>
        <v>W</v>
      </c>
      <c r="V9" s="36" t="str">
        <f t="shared" ca="1" si="3"/>
        <v>T</v>
      </c>
      <c r="W9" s="36" t="str">
        <f t="shared" ca="1" si="3"/>
        <v>F</v>
      </c>
      <c r="X9" s="36" t="str">
        <f t="shared" ca="1" si="3"/>
        <v>S</v>
      </c>
      <c r="Y9" s="36" t="str">
        <f t="shared" ca="1" si="3"/>
        <v>S</v>
      </c>
      <c r="Z9" s="36" t="str">
        <f t="shared" ca="1" si="3"/>
        <v>M</v>
      </c>
      <c r="AA9" s="36" t="str">
        <f t="shared" ca="1" si="3"/>
        <v>T</v>
      </c>
      <c r="AB9" s="36" t="str">
        <f t="shared" ca="1" si="3"/>
        <v>W</v>
      </c>
      <c r="AC9" s="36" t="str">
        <f t="shared" ca="1" si="3"/>
        <v>T</v>
      </c>
      <c r="AD9" s="36" t="str">
        <f t="shared" ca="1" si="3"/>
        <v>F</v>
      </c>
      <c r="AE9" s="36" t="str">
        <f t="shared" ca="1" si="3"/>
        <v>S</v>
      </c>
      <c r="AF9" s="36" t="str">
        <f t="shared" ca="1" si="3"/>
        <v>S</v>
      </c>
      <c r="AG9" s="36" t="str">
        <f t="shared" ca="1" si="3"/>
        <v>M</v>
      </c>
      <c r="AH9" s="36" t="str">
        <f t="shared" ca="1" si="3"/>
        <v>T</v>
      </c>
      <c r="AI9" s="36" t="str">
        <f t="shared" ca="1" si="3"/>
        <v>W</v>
      </c>
      <c r="AJ9" s="36" t="str">
        <f t="shared" ca="1" si="3"/>
        <v>T</v>
      </c>
      <c r="AK9" s="36" t="str">
        <f t="shared" ca="1" si="3"/>
        <v>F</v>
      </c>
      <c r="AL9" s="36" t="str">
        <f t="shared" ca="1" si="3"/>
        <v>S</v>
      </c>
      <c r="AM9" s="36" t="str">
        <f t="shared" ca="1" si="3"/>
        <v>S</v>
      </c>
      <c r="AN9" s="36" t="str">
        <f t="shared" ca="1" si="3"/>
        <v>M</v>
      </c>
      <c r="AO9" s="36" t="str">
        <f t="shared" ca="1" si="3"/>
        <v>T</v>
      </c>
      <c r="AP9" s="36" t="str">
        <f t="shared" ca="1" si="3"/>
        <v>W</v>
      </c>
      <c r="AQ9" s="36" t="str">
        <f t="shared" ca="1" si="3"/>
        <v>T</v>
      </c>
      <c r="AR9" s="36" t="str">
        <f t="shared" ca="1" si="3"/>
        <v>F</v>
      </c>
      <c r="AS9" s="36" t="str">
        <f t="shared" ca="1" si="3"/>
        <v>S</v>
      </c>
      <c r="AT9" s="36" t="str">
        <f t="shared" ca="1" si="3"/>
        <v>S</v>
      </c>
      <c r="AU9" s="36" t="str">
        <f t="shared" ca="1" si="3"/>
        <v>M</v>
      </c>
      <c r="AV9" s="36" t="str">
        <f t="shared" ca="1" si="3"/>
        <v>T</v>
      </c>
      <c r="AW9" s="36" t="str">
        <f t="shared" ca="1" si="3"/>
        <v>W</v>
      </c>
      <c r="AX9" s="36" t="str">
        <f t="shared" ca="1" si="3"/>
        <v>T</v>
      </c>
      <c r="AY9" s="36" t="str">
        <f t="shared" ca="1" si="3"/>
        <v>F</v>
      </c>
      <c r="AZ9" s="36" t="str">
        <f t="shared" ca="1" si="3"/>
        <v>S</v>
      </c>
      <c r="BA9" s="36" t="str">
        <f t="shared" ca="1" si="3"/>
        <v>S</v>
      </c>
      <c r="BB9" s="36" t="str">
        <f t="shared" ca="1" si="3"/>
        <v>M</v>
      </c>
      <c r="BC9" s="36" t="str">
        <f t="shared" ca="1" si="3"/>
        <v>T</v>
      </c>
      <c r="BD9" s="36" t="str">
        <f t="shared" ca="1" si="3"/>
        <v>W</v>
      </c>
      <c r="BE9" s="36" t="str">
        <f t="shared" ca="1" si="3"/>
        <v>T</v>
      </c>
      <c r="BF9" s="36" t="str">
        <f t="shared" ca="1" si="3"/>
        <v>F</v>
      </c>
      <c r="BG9" s="36" t="str">
        <f t="shared" ca="1" si="3"/>
        <v>S</v>
      </c>
      <c r="BH9" s="36" t="str">
        <f t="shared" ca="1" si="3"/>
        <v>S</v>
      </c>
      <c r="BI9" s="36" t="str">
        <f t="shared" ca="1" si="3"/>
        <v>M</v>
      </c>
      <c r="BJ9" s="36" t="str">
        <f t="shared" ca="1" si="3"/>
        <v>T</v>
      </c>
      <c r="BK9" s="36" t="str">
        <f t="shared" ca="1" si="3"/>
        <v>W</v>
      </c>
      <c r="BL9" s="36" t="str">
        <f t="shared" ca="1" si="3"/>
        <v>T</v>
      </c>
      <c r="BM9" s="31"/>
    </row>
    <row r="10" spans="1:68" ht="30" hidden="1" customHeight="1" thickBot="1" x14ac:dyDescent="0.4">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 customHeight="1" x14ac:dyDescent="0.35">
      <c r="A11" s="10"/>
      <c r="B11" s="119" t="s">
        <v>25</v>
      </c>
      <c r="C11" s="21"/>
      <c r="D11" s="21"/>
      <c r="E11" s="22"/>
      <c r="F11" s="23"/>
      <c r="G11" s="24"/>
      <c r="H11" s="19"/>
      <c r="I11" s="125" t="str">
        <f t="shared" ref="I11:X1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1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1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1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 customHeight="1" x14ac:dyDescent="0.35">
      <c r="A12" s="10"/>
      <c r="B12" s="25" t="s">
        <v>3</v>
      </c>
      <c r="C12" s="21" t="s">
        <v>14</v>
      </c>
      <c r="D12" s="21" t="s">
        <v>63</v>
      </c>
      <c r="E12" s="22">
        <v>1</v>
      </c>
      <c r="F12" s="23">
        <f>Project_Start</f>
        <v>46276</v>
      </c>
      <c r="G12" s="24">
        <v>7</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 customHeight="1" x14ac:dyDescent="0.35">
      <c r="A13" s="10"/>
      <c r="B13" s="25" t="s">
        <v>4</v>
      </c>
      <c r="C13" s="21" t="s">
        <v>14</v>
      </c>
      <c r="D13" s="21" t="s">
        <v>64</v>
      </c>
      <c r="E13" s="22">
        <v>1</v>
      </c>
      <c r="F13" s="23">
        <f>F12+7</f>
        <v>46283</v>
      </c>
      <c r="G13" s="24">
        <v>7</v>
      </c>
      <c r="H13" s="19"/>
      <c r="I13" s="125" t="str">
        <f t="shared" ref="I13:I16" ca="1" si="8">IF(AND($C13="Goal",I$7&gt;=$F13,I$7&lt;=$F13+$G13-1),2,IF(AND($C13="Milestone",I$7&gt;=$F13,I$7&lt;=$F13+$G13-1),1,""))</f>
        <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 customHeight="1" x14ac:dyDescent="0.35">
      <c r="A14" s="9"/>
      <c r="B14" s="25" t="s">
        <v>0</v>
      </c>
      <c r="C14" s="21" t="s">
        <v>14</v>
      </c>
      <c r="D14" s="21" t="s">
        <v>65</v>
      </c>
      <c r="E14" s="22">
        <v>1</v>
      </c>
      <c r="F14" s="23">
        <f>F13</f>
        <v>46283</v>
      </c>
      <c r="G14" s="24">
        <v>7</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 customHeight="1" x14ac:dyDescent="0.35">
      <c r="A15" s="9"/>
      <c r="B15" s="25" t="s">
        <v>1</v>
      </c>
      <c r="C15" s="21" t="s">
        <v>14</v>
      </c>
      <c r="D15" s="21" t="s">
        <v>66</v>
      </c>
      <c r="E15" s="22">
        <v>1</v>
      </c>
      <c r="F15" s="23">
        <f>F14+7</f>
        <v>46290</v>
      </c>
      <c r="G15" s="24">
        <v>7</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t="str">
        <f t="shared" ca="1" si="4"/>
        <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 customHeight="1" x14ac:dyDescent="0.35">
      <c r="A16" s="9"/>
      <c r="B16" s="25" t="s">
        <v>2</v>
      </c>
      <c r="C16" s="21" t="s">
        <v>14</v>
      </c>
      <c r="D16" s="21" t="s">
        <v>67</v>
      </c>
      <c r="E16" s="22">
        <v>1</v>
      </c>
      <c r="F16" s="23">
        <f>F15</f>
        <v>46290</v>
      </c>
      <c r="G16" s="24">
        <v>7</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 customHeight="1" x14ac:dyDescent="0.35">
      <c r="A17" s="10"/>
      <c r="B17" s="25" t="s">
        <v>68</v>
      </c>
      <c r="C17" s="21" t="s">
        <v>14</v>
      </c>
      <c r="D17" s="21" t="s">
        <v>73</v>
      </c>
      <c r="E17" s="22">
        <v>100</v>
      </c>
      <c r="F17" s="23">
        <f>F16</f>
        <v>46290</v>
      </c>
      <c r="G17" s="24">
        <v>7</v>
      </c>
      <c r="H17" s="19"/>
      <c r="I17" s="125" t="str">
        <f ca="1">IF(AND($C17="Goal",I$7&gt;=$F17,I$7&lt;=$F17+$G17-1),2,IF(AND($C17="Milestone",I$7&gt;=$F17,I$7&lt;=$F17+$G17-1),1,""))</f>
        <v/>
      </c>
      <c r="J17" s="126" t="str">
        <f ca="1">IF(AND($C17="Goal",J$7&gt;=$F17,J$7&lt;=$F17+$G17-1),2,IF(AND($C17="Milestone",J$7&gt;=$F17,J$7&lt;=$F17+$G17-1),1,""))</f>
        <v/>
      </c>
      <c r="K17" s="126" t="str">
        <f ca="1">IF(AND($C17="Goal",K$7&gt;=$F17,K$7&lt;=$F17+$G17-1),2,IF(AND($C17="Milestone",K$7&gt;=$F17,K$7&lt;=$F17+$G17-1),1,""))</f>
        <v/>
      </c>
      <c r="L17" s="126" t="str">
        <f ca="1">IF(AND($C17="Goal",L$7&gt;=$F17,L$7&lt;=$F17+$G17-1),2,IF(AND($C17="Milestone",L$7&gt;=$F17,L$7&lt;=$F17+$G17-1),1,""))</f>
        <v/>
      </c>
      <c r="M17" s="126" t="str">
        <f ca="1">IF(AND($C17="Goal",M$7&gt;=$F17,M$7&lt;=$F17+$G17-1),2,IF(AND($C17="Milestone",M$7&gt;=$F17,M$7&lt;=$F17+$G17-1),1,""))</f>
        <v/>
      </c>
      <c r="N17" s="126" t="str">
        <f ca="1">IF(AND($C17="Goal",N$7&gt;=$F17,N$7&lt;=$F17+$G17-1),2,IF(AND($C17="Milestone",N$7&gt;=$F17,N$7&lt;=$F17+$G17-1),1,""))</f>
        <v/>
      </c>
      <c r="O17" s="126" t="str">
        <f ca="1">IF(AND($C17="Goal",O$7&gt;=$F17,O$7&lt;=$F17+$G17-1),2,IF(AND($C17="Milestone",O$7&gt;=$F17,O$7&lt;=$F17+$G17-1),1,""))</f>
        <v/>
      </c>
      <c r="P17" s="126" t="str">
        <f ca="1">IF(AND($C17="Goal",P$7&gt;=$F17,P$7&lt;=$F17+$G17-1),2,IF(AND($C17="Milestone",P$7&gt;=$F17,P$7&lt;=$F17+$G17-1),1,""))</f>
        <v/>
      </c>
      <c r="Q17" s="126" t="str">
        <f ca="1">IF(AND($C17="Goal",Q$7&gt;=$F17,Q$7&lt;=$F17+$G17-1),2,IF(AND($C17="Milestone",Q$7&gt;=$F17,Q$7&lt;=$F17+$G17-1),1,""))</f>
        <v/>
      </c>
      <c r="R17" s="126" t="str">
        <f ca="1">IF(AND($C17="Goal",R$7&gt;=$F17,R$7&lt;=$F17+$G17-1),2,IF(AND($C17="Milestone",R$7&gt;=$F17,R$7&lt;=$F17+$G17-1),1,""))</f>
        <v/>
      </c>
      <c r="S17" s="126" t="str">
        <f ca="1">IF(AND($C17="Goal",S$7&gt;=$F17,S$7&lt;=$F17+$G17-1),2,IF(AND($C17="Milestone",S$7&gt;=$F17,S$7&lt;=$F17+$G17-1),1,""))</f>
        <v/>
      </c>
      <c r="T17" s="126" t="str">
        <f ca="1">IF(AND($C17="Goal",T$7&gt;=$F17,T$7&lt;=$F17+$G17-1),2,IF(AND($C17="Milestone",T$7&gt;=$F17,T$7&lt;=$F17+$G17-1),1,""))</f>
        <v/>
      </c>
      <c r="U17" s="126" t="str">
        <f ca="1">IF(AND($C17="Goal",U$7&gt;=$F17,U$7&lt;=$F17+$G17-1),2,IF(AND($C17="Milestone",U$7&gt;=$F17,U$7&lt;=$F17+$G17-1),1,""))</f>
        <v/>
      </c>
      <c r="V17" s="126" t="str">
        <f ca="1">IF(AND($C17="Goal",V$7&gt;=$F17,V$7&lt;=$F17+$G17-1),2,IF(AND($C17="Milestone",V$7&gt;=$F17,V$7&lt;=$F17+$G17-1),1,""))</f>
        <v/>
      </c>
      <c r="W17" s="126" t="str">
        <f ca="1">IF(AND($C17="Goal",W$7&gt;=$F17,W$7&lt;=$F17+$G17-1),2,IF(AND($C17="Milestone",W$7&gt;=$F17,W$7&lt;=$F17+$G17-1),1,""))</f>
        <v/>
      </c>
      <c r="X17" s="126" t="str">
        <f ca="1">IF(AND($C17="Goal",X$7&gt;=$F17,X$7&lt;=$F17+$G17-1),2,IF(AND($C17="Milestone",X$7&gt;=$F17,X$7&lt;=$F17+$G17-1),1,""))</f>
        <v/>
      </c>
      <c r="Y17" s="126" t="str">
        <f ca="1">IF(AND($C17="Goal",Y$7&gt;=$F17,Y$7&lt;=$F17+$G17-1),2,IF(AND($C17="Milestone",Y$7&gt;=$F17,Y$7&lt;=$F17+$G17-1),1,""))</f>
        <v/>
      </c>
      <c r="Z17" s="126" t="str">
        <f ca="1">IF(AND($C17="Goal",Z$7&gt;=$F17,Z$7&lt;=$F17+$G17-1),2,IF(AND($C17="Milestone",Z$7&gt;=$F17,Z$7&lt;=$F17+$G17-1),1,""))</f>
        <v/>
      </c>
      <c r="AA17" s="126" t="str">
        <f ca="1">IF(AND($C17="Goal",AA$7&gt;=$F17,AA$7&lt;=$F17+$G17-1),2,IF(AND($C17="Milestone",AA$7&gt;=$F17,AA$7&lt;=$F17+$G17-1),1,""))</f>
        <v/>
      </c>
      <c r="AB17" s="126" t="str">
        <f ca="1">IF(AND($C17="Goal",AB$7&gt;=$F17,AB$7&lt;=$F17+$G17-1),2,IF(AND($C17="Milestone",AB$7&gt;=$F17,AB$7&lt;=$F17+$G17-1),1,""))</f>
        <v/>
      </c>
      <c r="AC17" s="126" t="str">
        <f ca="1">IF(AND($C17="Goal",AC$7&gt;=$F17,AC$7&lt;=$F17+$G17-1),2,IF(AND($C17="Milestone",AC$7&gt;=$F17,AC$7&lt;=$F17+$G17-1),1,""))</f>
        <v/>
      </c>
      <c r="AD17" s="126" t="str">
        <f ca="1">IF(AND($C17="Goal",AD$7&gt;=$F17,AD$7&lt;=$F17+$G17-1),2,IF(AND($C17="Milestone",AD$7&gt;=$F17,AD$7&lt;=$F17+$G17-1),1,""))</f>
        <v/>
      </c>
      <c r="AE17" s="126" t="str">
        <f ca="1">IF(AND($C17="Goal",AE$7&gt;=$F17,AE$7&lt;=$F17+$G17-1),2,IF(AND($C17="Milestone",AE$7&gt;=$F17,AE$7&lt;=$F17+$G17-1),1,""))</f>
        <v/>
      </c>
      <c r="AF17" s="126" t="str">
        <f ca="1">IF(AND($C17="Goal",AF$7&gt;=$F17,AF$7&lt;=$F17+$G17-1),2,IF(AND($C17="Milestone",AF$7&gt;=$F17,AF$7&lt;=$F17+$G17-1),1,""))</f>
        <v/>
      </c>
      <c r="AG17" s="126" t="str">
        <f ca="1">IF(AND($C17="Goal",AG$7&gt;=$F17,AG$7&lt;=$F17+$G17-1),2,IF(AND($C17="Milestone",AG$7&gt;=$F17,AG$7&lt;=$F17+$G17-1),1,""))</f>
        <v/>
      </c>
      <c r="AH17" s="126" t="str">
        <f ca="1">IF(AND($C17="Goal",AH$7&gt;=$F17,AH$7&lt;=$F17+$G17-1),2,IF(AND($C17="Milestone",AH$7&gt;=$F17,AH$7&lt;=$F17+$G17-1),1,""))</f>
        <v/>
      </c>
      <c r="AI17" s="126" t="str">
        <f ca="1">IF(AND($C17="Goal",AI$7&gt;=$F17,AI$7&lt;=$F17+$G17-1),2,IF(AND($C17="Milestone",AI$7&gt;=$F17,AI$7&lt;=$F17+$G17-1),1,""))</f>
        <v/>
      </c>
      <c r="AJ17" s="126" t="str">
        <f ca="1">IF(AND($C17="Goal",AJ$7&gt;=$F17,AJ$7&lt;=$F17+$G17-1),2,IF(AND($C17="Milestone",AJ$7&gt;=$F17,AJ$7&lt;=$F17+$G17-1),1,""))</f>
        <v/>
      </c>
      <c r="AK17" s="126" t="str">
        <f ca="1">IF(AND($C17="Goal",AK$7&gt;=$F17,AK$7&lt;=$F17+$G17-1),2,IF(AND($C17="Milestone",AK$7&gt;=$F17,AK$7&lt;=$F17+$G17-1),1,""))</f>
        <v/>
      </c>
      <c r="AL17" s="126" t="str">
        <f ca="1">IF(AND($C17="Goal",AL$7&gt;=$F17,AL$7&lt;=$F17+$G17-1),2,IF(AND($C17="Milestone",AL$7&gt;=$F17,AL$7&lt;=$F17+$G17-1),1,""))</f>
        <v/>
      </c>
      <c r="AM17" s="126" t="str">
        <f ca="1">IF(AND($C17="Goal",AM$7&gt;=$F17,AM$7&lt;=$F17+$G17-1),2,IF(AND($C17="Milestone",AM$7&gt;=$F17,AM$7&lt;=$F17+$G17-1),1,""))</f>
        <v/>
      </c>
      <c r="AN17" s="126" t="str">
        <f ca="1">IF(AND($C17="Goal",AN$7&gt;=$F17,AN$7&lt;=$F17+$G17-1),2,IF(AND($C17="Milestone",AN$7&gt;=$F17,AN$7&lt;=$F17+$G17-1),1,""))</f>
        <v/>
      </c>
      <c r="AO17" s="126" t="str">
        <f ca="1">IF(AND($C17="Goal",AO$7&gt;=$F17,AO$7&lt;=$F17+$G17-1),2,IF(AND($C17="Milestone",AO$7&gt;=$F17,AO$7&lt;=$F17+$G17-1),1,""))</f>
        <v/>
      </c>
      <c r="AP17" s="126" t="str">
        <f ca="1">IF(AND($C17="Goal",AP$7&gt;=$F17,AP$7&lt;=$F17+$G17-1),2,IF(AND($C17="Milestone",AP$7&gt;=$F17,AP$7&lt;=$F17+$G17-1),1,""))</f>
        <v/>
      </c>
      <c r="AQ17" s="126" t="str">
        <f ca="1">IF(AND($C17="Goal",AQ$7&gt;=$F17,AQ$7&lt;=$F17+$G17-1),2,IF(AND($C17="Milestone",AQ$7&gt;=$F17,AQ$7&lt;=$F17+$G17-1),1,""))</f>
        <v/>
      </c>
      <c r="AR17" s="126" t="str">
        <f ca="1">IF(AND($C17="Goal",AR$7&gt;=$F17,AR$7&lt;=$F17+$G17-1),2,IF(AND($C17="Milestone",AR$7&gt;=$F17,AR$7&lt;=$F17+$G17-1),1,""))</f>
        <v/>
      </c>
      <c r="AS17" s="126" t="str">
        <f ca="1">IF(AND($C17="Goal",AS$7&gt;=$F17,AS$7&lt;=$F17+$G17-1),2,IF(AND($C17="Milestone",AS$7&gt;=$F17,AS$7&lt;=$F17+$G17-1),1,""))</f>
        <v/>
      </c>
      <c r="AT17" s="126" t="str">
        <f ca="1">IF(AND($C17="Goal",AT$7&gt;=$F17,AT$7&lt;=$F17+$G17-1),2,IF(AND($C17="Milestone",AT$7&gt;=$F17,AT$7&lt;=$F17+$G17-1),1,""))</f>
        <v/>
      </c>
      <c r="AU17" s="126" t="str">
        <f ca="1">IF(AND($C17="Goal",AU$7&gt;=$F17,AU$7&lt;=$F17+$G17-1),2,IF(AND($C17="Milestone",AU$7&gt;=$F17,AU$7&lt;=$F17+$G17-1),1,""))</f>
        <v/>
      </c>
      <c r="AV17" s="126" t="str">
        <f ca="1">IF(AND($C17="Goal",AV$7&gt;=$F17,AV$7&lt;=$F17+$G17-1),2,IF(AND($C17="Milestone",AV$7&gt;=$F17,AV$7&lt;=$F17+$G17-1),1,""))</f>
        <v/>
      </c>
      <c r="AW17" s="126" t="str">
        <f ca="1">IF(AND($C17="Goal",AW$7&gt;=$F17,AW$7&lt;=$F17+$G17-1),2,IF(AND($C17="Milestone",AW$7&gt;=$F17,AW$7&lt;=$F17+$G17-1),1,""))</f>
        <v/>
      </c>
      <c r="AX17" s="126" t="str">
        <f ca="1">IF(AND($C17="Goal",AX$7&gt;=$F17,AX$7&lt;=$F17+$G17-1),2,IF(AND($C17="Milestone",AX$7&gt;=$F17,AX$7&lt;=$F17+$G17-1),1,""))</f>
        <v/>
      </c>
      <c r="AY17" s="126" t="str">
        <f ca="1">IF(AND($C17="Goal",AY$7&gt;=$F17,AY$7&lt;=$F17+$G17-1),2,IF(AND($C17="Milestone",AY$7&gt;=$F17,AY$7&lt;=$F17+$G17-1),1,""))</f>
        <v/>
      </c>
      <c r="AZ17" s="126" t="str">
        <f ca="1">IF(AND($C17="Goal",AZ$7&gt;=$F17,AZ$7&lt;=$F17+$G17-1),2,IF(AND($C17="Milestone",AZ$7&gt;=$F17,AZ$7&lt;=$F17+$G17-1),1,""))</f>
        <v/>
      </c>
      <c r="BA17" s="126" t="str">
        <f ca="1">IF(AND($C17="Goal",BA$7&gt;=$F17,BA$7&lt;=$F17+$G17-1),2,IF(AND($C17="Milestone",BA$7&gt;=$F17,BA$7&lt;=$F17+$G17-1),1,""))</f>
        <v/>
      </c>
      <c r="BB17" s="126" t="str">
        <f ca="1">IF(AND($C17="Goal",BB$7&gt;=$F17,BB$7&lt;=$F17+$G17-1),2,IF(AND($C17="Milestone",BB$7&gt;=$F17,BB$7&lt;=$F17+$G17-1),1,""))</f>
        <v/>
      </c>
      <c r="BC17" s="126" t="str">
        <f ca="1">IF(AND($C17="Goal",BC$7&gt;=$F17,BC$7&lt;=$F17+$G17-1),2,IF(AND($C17="Milestone",BC$7&gt;=$F17,BC$7&lt;=$F17+$G17-1),1,""))</f>
        <v/>
      </c>
      <c r="BD17" s="126" t="str">
        <f ca="1">IF(AND($C17="Goal",BD$7&gt;=$F17,BD$7&lt;=$F17+$G17-1),2,IF(AND($C17="Milestone",BD$7&gt;=$F17,BD$7&lt;=$F17+$G17-1),1,""))</f>
        <v/>
      </c>
      <c r="BE17" s="126" t="str">
        <f ca="1">IF(AND($C17="Goal",BE$7&gt;=$F17,BE$7&lt;=$F17+$G17-1),2,IF(AND($C17="Milestone",BE$7&gt;=$F17,BE$7&lt;=$F17+$G17-1),1,""))</f>
        <v/>
      </c>
      <c r="BF17" s="126" t="str">
        <f ca="1">IF(AND($C17="Goal",BF$7&gt;=$F17,BF$7&lt;=$F17+$G17-1),2,IF(AND($C17="Milestone",BF$7&gt;=$F17,BF$7&lt;=$F17+$G17-1),1,""))</f>
        <v/>
      </c>
      <c r="BG17" s="126" t="str">
        <f ca="1">IF(AND($C17="Goal",BG$7&gt;=$F17,BG$7&lt;=$F17+$G17-1),2,IF(AND($C17="Milestone",BG$7&gt;=$F17,BG$7&lt;=$F17+$G17-1),1,""))</f>
        <v/>
      </c>
      <c r="BH17" s="126" t="str">
        <f ca="1">IF(AND($C17="Goal",BH$7&gt;=$F17,BH$7&lt;=$F17+$G17-1),2,IF(AND($C17="Milestone",BH$7&gt;=$F17,BH$7&lt;=$F17+$G17-1),1,""))</f>
        <v/>
      </c>
      <c r="BI17" s="126" t="str">
        <f ca="1">IF(AND($C17="Goal",BI$7&gt;=$F17,BI$7&lt;=$F17+$G17-1),2,IF(AND($C17="Milestone",BI$7&gt;=$F17,BI$7&lt;=$F17+$G17-1),1,""))</f>
        <v/>
      </c>
      <c r="BJ17" s="126" t="str">
        <f ca="1">IF(AND($C17="Goal",BJ$7&gt;=$F17,BJ$7&lt;=$F17+$G17-1),2,IF(AND($C17="Milestone",BJ$7&gt;=$F17,BJ$7&lt;=$F17+$G17-1),1,""))</f>
        <v/>
      </c>
      <c r="BK17" s="126" t="str">
        <f ca="1">IF(AND($C17="Goal",BK$7&gt;=$F17,BK$7&lt;=$F17+$G17-1),2,IF(AND($C17="Milestone",BK$7&gt;=$F17,BK$7&lt;=$F17+$G17-1),1,""))</f>
        <v/>
      </c>
      <c r="BL17" s="126" t="str">
        <f ca="1">IF(AND($C17="Goal",BL$7&gt;=$F17,BL$7&lt;=$F17+$G17-1),2,IF(AND($C17="Milestone",BL$7&gt;=$F17,BL$7&lt;=$F17+$G17-1),1,""))</f>
        <v/>
      </c>
      <c r="BM17" s="27"/>
    </row>
    <row r="18" spans="1:65" s="1" customFormat="1" ht="40" customHeight="1" x14ac:dyDescent="0.35">
      <c r="A18" s="10"/>
      <c r="B18" s="25" t="s">
        <v>69</v>
      </c>
      <c r="C18" s="21" t="s">
        <v>14</v>
      </c>
      <c r="D18" s="21" t="s">
        <v>74</v>
      </c>
      <c r="E18" s="22">
        <v>1</v>
      </c>
      <c r="F18" s="23">
        <f t="shared" ref="F18:F21" si="9">F17</f>
        <v>46290</v>
      </c>
      <c r="G18" s="24">
        <v>7</v>
      </c>
      <c r="H18" s="19"/>
      <c r="I18" s="125" t="str">
        <f ca="1">IF(AND($C18="Goal",I$7&gt;=$F18,I$7&lt;=$F18+$G18-1),2,IF(AND($C18="Milestone",I$7&gt;=$F18,I$7&lt;=$F18+$G18-1),1,""))</f>
        <v/>
      </c>
      <c r="J18" s="126" t="str">
        <f ca="1">IF(AND($C18="Goal",J$7&gt;=$F18,J$7&lt;=$F18+$G18-1),2,IF(AND($C18="Milestone",J$7&gt;=$F18,J$7&lt;=$F18+$G18-1),1,""))</f>
        <v/>
      </c>
      <c r="K18" s="126" t="str">
        <f ca="1">IF(AND($C18="Goal",K$7&gt;=$F18,K$7&lt;=$F18+$G18-1),2,IF(AND($C18="Milestone",K$7&gt;=$F18,K$7&lt;=$F18+$G18-1),1,""))</f>
        <v/>
      </c>
      <c r="L18" s="126" t="str">
        <f ca="1">IF(AND($C18="Goal",L$7&gt;=$F18,L$7&lt;=$F18+$G18-1),2,IF(AND($C18="Milestone",L$7&gt;=$F18,L$7&lt;=$F18+$G18-1),1,""))</f>
        <v/>
      </c>
      <c r="M18" s="126" t="str">
        <f ca="1">IF(AND($C18="Goal",M$7&gt;=$F18,M$7&lt;=$F18+$G18-1),2,IF(AND($C18="Milestone",M$7&gt;=$F18,M$7&lt;=$F18+$G18-1),1,""))</f>
        <v/>
      </c>
      <c r="N18" s="126" t="str">
        <f ca="1">IF(AND($C18="Goal",N$7&gt;=$F18,N$7&lt;=$F18+$G18-1),2,IF(AND($C18="Milestone",N$7&gt;=$F18,N$7&lt;=$F18+$G18-1),1,""))</f>
        <v/>
      </c>
      <c r="O18" s="126" t="str">
        <f ca="1">IF(AND($C18="Goal",O$7&gt;=$F18,O$7&lt;=$F18+$G18-1),2,IF(AND($C18="Milestone",O$7&gt;=$F18,O$7&lt;=$F18+$G18-1),1,""))</f>
        <v/>
      </c>
      <c r="P18" s="126" t="str">
        <f ca="1">IF(AND($C18="Goal",P$7&gt;=$F18,P$7&lt;=$F18+$G18-1),2,IF(AND($C18="Milestone",P$7&gt;=$F18,P$7&lt;=$F18+$G18-1),1,""))</f>
        <v/>
      </c>
      <c r="Q18" s="126" t="str">
        <f ca="1">IF(AND($C18="Goal",Q$7&gt;=$F18,Q$7&lt;=$F18+$G18-1),2,IF(AND($C18="Milestone",Q$7&gt;=$F18,Q$7&lt;=$F18+$G18-1),1,""))</f>
        <v/>
      </c>
      <c r="R18" s="126" t="str">
        <f ca="1">IF(AND($C18="Goal",R$7&gt;=$F18,R$7&lt;=$F18+$G18-1),2,IF(AND($C18="Milestone",R$7&gt;=$F18,R$7&lt;=$F18+$G18-1),1,""))</f>
        <v/>
      </c>
      <c r="S18" s="126" t="str">
        <f ca="1">IF(AND($C18="Goal",S$7&gt;=$F18,S$7&lt;=$F18+$G18-1),2,IF(AND($C18="Milestone",S$7&gt;=$F18,S$7&lt;=$F18+$G18-1),1,""))</f>
        <v/>
      </c>
      <c r="T18" s="126" t="str">
        <f ca="1">IF(AND($C18="Goal",T$7&gt;=$F18,T$7&lt;=$F18+$G18-1),2,IF(AND($C18="Milestone",T$7&gt;=$F18,T$7&lt;=$F18+$G18-1),1,""))</f>
        <v/>
      </c>
      <c r="U18" s="126" t="str">
        <f ca="1">IF(AND($C18="Goal",U$7&gt;=$F18,U$7&lt;=$F18+$G18-1),2,IF(AND($C18="Milestone",U$7&gt;=$F18,U$7&lt;=$F18+$G18-1),1,""))</f>
        <v/>
      </c>
      <c r="V18" s="126" t="str">
        <f ca="1">IF(AND($C18="Goal",V$7&gt;=$F18,V$7&lt;=$F18+$G18-1),2,IF(AND($C18="Milestone",V$7&gt;=$F18,V$7&lt;=$F18+$G18-1),1,""))</f>
        <v/>
      </c>
      <c r="W18" s="126" t="str">
        <f ca="1">IF(AND($C18="Goal",W$7&gt;=$F18,W$7&lt;=$F18+$G18-1),2,IF(AND($C18="Milestone",W$7&gt;=$F18,W$7&lt;=$F18+$G18-1),1,""))</f>
        <v/>
      </c>
      <c r="X18" s="126" t="str">
        <f ca="1">IF(AND($C18="Goal",X$7&gt;=$F18,X$7&lt;=$F18+$G18-1),2,IF(AND($C18="Milestone",X$7&gt;=$F18,X$7&lt;=$F18+$G18-1),1,""))</f>
        <v/>
      </c>
      <c r="Y18" s="126" t="str">
        <f ca="1">IF(AND($C18="Goal",Y$7&gt;=$F18,Y$7&lt;=$F18+$G18-1),2,IF(AND($C18="Milestone",Y$7&gt;=$F18,Y$7&lt;=$F18+$G18-1),1,""))</f>
        <v/>
      </c>
      <c r="Z18" s="126" t="str">
        <f ca="1">IF(AND($C18="Goal",Z$7&gt;=$F18,Z$7&lt;=$F18+$G18-1),2,IF(AND($C18="Milestone",Z$7&gt;=$F18,Z$7&lt;=$F18+$G18-1),1,""))</f>
        <v/>
      </c>
      <c r="AA18" s="126" t="str">
        <f ca="1">IF(AND($C18="Goal",AA$7&gt;=$F18,AA$7&lt;=$F18+$G18-1),2,IF(AND($C18="Milestone",AA$7&gt;=$F18,AA$7&lt;=$F18+$G18-1),1,""))</f>
        <v/>
      </c>
      <c r="AB18" s="126" t="str">
        <f ca="1">IF(AND($C18="Goal",AB$7&gt;=$F18,AB$7&lt;=$F18+$G18-1),2,IF(AND($C18="Milestone",AB$7&gt;=$F18,AB$7&lt;=$F18+$G18-1),1,""))</f>
        <v/>
      </c>
      <c r="AC18" s="126" t="str">
        <f ca="1">IF(AND($C18="Goal",AC$7&gt;=$F18,AC$7&lt;=$F18+$G18-1),2,IF(AND($C18="Milestone",AC$7&gt;=$F18,AC$7&lt;=$F18+$G18-1),1,""))</f>
        <v/>
      </c>
      <c r="AD18" s="126" t="str">
        <f ca="1">IF(AND($C18="Goal",AD$7&gt;=$F18,AD$7&lt;=$F18+$G18-1),2,IF(AND($C18="Milestone",AD$7&gt;=$F18,AD$7&lt;=$F18+$G18-1),1,""))</f>
        <v/>
      </c>
      <c r="AE18" s="126" t="str">
        <f ca="1">IF(AND($C18="Goal",AE$7&gt;=$F18,AE$7&lt;=$F18+$G18-1),2,IF(AND($C18="Milestone",AE$7&gt;=$F18,AE$7&lt;=$F18+$G18-1),1,""))</f>
        <v/>
      </c>
      <c r="AF18" s="126" t="str">
        <f ca="1">IF(AND($C18="Goal",AF$7&gt;=$F18,AF$7&lt;=$F18+$G18-1),2,IF(AND($C18="Milestone",AF$7&gt;=$F18,AF$7&lt;=$F18+$G18-1),1,""))</f>
        <v/>
      </c>
      <c r="AG18" s="126" t="str">
        <f ca="1">IF(AND($C18="Goal",AG$7&gt;=$F18,AG$7&lt;=$F18+$G18-1),2,IF(AND($C18="Milestone",AG$7&gt;=$F18,AG$7&lt;=$F18+$G18-1),1,""))</f>
        <v/>
      </c>
      <c r="AH18" s="126" t="str">
        <f ca="1">IF(AND($C18="Goal",AH$7&gt;=$F18,AH$7&lt;=$F18+$G18-1),2,IF(AND($C18="Milestone",AH$7&gt;=$F18,AH$7&lt;=$F18+$G18-1),1,""))</f>
        <v/>
      </c>
      <c r="AI18" s="126" t="str">
        <f ca="1">IF(AND($C18="Goal",AI$7&gt;=$F18,AI$7&lt;=$F18+$G18-1),2,IF(AND($C18="Milestone",AI$7&gt;=$F18,AI$7&lt;=$F18+$G18-1),1,""))</f>
        <v/>
      </c>
      <c r="AJ18" s="126" t="str">
        <f ca="1">IF(AND($C18="Goal",AJ$7&gt;=$F18,AJ$7&lt;=$F18+$G18-1),2,IF(AND($C18="Milestone",AJ$7&gt;=$F18,AJ$7&lt;=$F18+$G18-1),1,""))</f>
        <v/>
      </c>
      <c r="AK18" s="126" t="str">
        <f ca="1">IF(AND($C18="Goal",AK$7&gt;=$F18,AK$7&lt;=$F18+$G18-1),2,IF(AND($C18="Milestone",AK$7&gt;=$F18,AK$7&lt;=$F18+$G18-1),1,""))</f>
        <v/>
      </c>
      <c r="AL18" s="126" t="str">
        <f ca="1">IF(AND($C18="Goal",AL$7&gt;=$F18,AL$7&lt;=$F18+$G18-1),2,IF(AND($C18="Milestone",AL$7&gt;=$F18,AL$7&lt;=$F18+$G18-1),1,""))</f>
        <v/>
      </c>
      <c r="AM18" s="126" t="str">
        <f ca="1">IF(AND($C18="Goal",AM$7&gt;=$F18,AM$7&lt;=$F18+$G18-1),2,IF(AND($C18="Milestone",AM$7&gt;=$F18,AM$7&lt;=$F18+$G18-1),1,""))</f>
        <v/>
      </c>
      <c r="AN18" s="126" t="str">
        <f ca="1">IF(AND($C18="Goal",AN$7&gt;=$F18,AN$7&lt;=$F18+$G18-1),2,IF(AND($C18="Milestone",AN$7&gt;=$F18,AN$7&lt;=$F18+$G18-1),1,""))</f>
        <v/>
      </c>
      <c r="AO18" s="126" t="str">
        <f ca="1">IF(AND($C18="Goal",AO$7&gt;=$F18,AO$7&lt;=$F18+$G18-1),2,IF(AND($C18="Milestone",AO$7&gt;=$F18,AO$7&lt;=$F18+$G18-1),1,""))</f>
        <v/>
      </c>
      <c r="AP18" s="126" t="str">
        <f ca="1">IF(AND($C18="Goal",AP$7&gt;=$F18,AP$7&lt;=$F18+$G18-1),2,IF(AND($C18="Milestone",AP$7&gt;=$F18,AP$7&lt;=$F18+$G18-1),1,""))</f>
        <v/>
      </c>
      <c r="AQ18" s="126" t="str">
        <f ca="1">IF(AND($C18="Goal",AQ$7&gt;=$F18,AQ$7&lt;=$F18+$G18-1),2,IF(AND($C18="Milestone",AQ$7&gt;=$F18,AQ$7&lt;=$F18+$G18-1),1,""))</f>
        <v/>
      </c>
      <c r="AR18" s="126" t="str">
        <f ca="1">IF(AND($C18="Goal",AR$7&gt;=$F18,AR$7&lt;=$F18+$G18-1),2,IF(AND($C18="Milestone",AR$7&gt;=$F18,AR$7&lt;=$F18+$G18-1),1,""))</f>
        <v/>
      </c>
      <c r="AS18" s="126" t="str">
        <f ca="1">IF(AND($C18="Goal",AS$7&gt;=$F18,AS$7&lt;=$F18+$G18-1),2,IF(AND($C18="Milestone",AS$7&gt;=$F18,AS$7&lt;=$F18+$G18-1),1,""))</f>
        <v/>
      </c>
      <c r="AT18" s="126" t="str">
        <f ca="1">IF(AND($C18="Goal",AT$7&gt;=$F18,AT$7&lt;=$F18+$G18-1),2,IF(AND($C18="Milestone",AT$7&gt;=$F18,AT$7&lt;=$F18+$G18-1),1,""))</f>
        <v/>
      </c>
      <c r="AU18" s="126" t="str">
        <f ca="1">IF(AND($C18="Goal",AU$7&gt;=$F18,AU$7&lt;=$F18+$G18-1),2,IF(AND($C18="Milestone",AU$7&gt;=$F18,AU$7&lt;=$F18+$G18-1),1,""))</f>
        <v/>
      </c>
      <c r="AV18" s="126" t="str">
        <f ca="1">IF(AND($C18="Goal",AV$7&gt;=$F18,AV$7&lt;=$F18+$G18-1),2,IF(AND($C18="Milestone",AV$7&gt;=$F18,AV$7&lt;=$F18+$G18-1),1,""))</f>
        <v/>
      </c>
      <c r="AW18" s="126" t="str">
        <f ca="1">IF(AND($C18="Goal",AW$7&gt;=$F18,AW$7&lt;=$F18+$G18-1),2,IF(AND($C18="Milestone",AW$7&gt;=$F18,AW$7&lt;=$F18+$G18-1),1,""))</f>
        <v/>
      </c>
      <c r="AX18" s="126" t="str">
        <f ca="1">IF(AND($C18="Goal",AX$7&gt;=$F18,AX$7&lt;=$F18+$G18-1),2,IF(AND($C18="Milestone",AX$7&gt;=$F18,AX$7&lt;=$F18+$G18-1),1,""))</f>
        <v/>
      </c>
      <c r="AY18" s="126" t="str">
        <f ca="1">IF(AND($C18="Goal",AY$7&gt;=$F18,AY$7&lt;=$F18+$G18-1),2,IF(AND($C18="Milestone",AY$7&gt;=$F18,AY$7&lt;=$F18+$G18-1),1,""))</f>
        <v/>
      </c>
      <c r="AZ18" s="126" t="str">
        <f ca="1">IF(AND($C18="Goal",AZ$7&gt;=$F18,AZ$7&lt;=$F18+$G18-1),2,IF(AND($C18="Milestone",AZ$7&gt;=$F18,AZ$7&lt;=$F18+$G18-1),1,""))</f>
        <v/>
      </c>
      <c r="BA18" s="126" t="str">
        <f ca="1">IF(AND($C18="Goal",BA$7&gt;=$F18,BA$7&lt;=$F18+$G18-1),2,IF(AND($C18="Milestone",BA$7&gt;=$F18,BA$7&lt;=$F18+$G18-1),1,""))</f>
        <v/>
      </c>
      <c r="BB18" s="126" t="str">
        <f ca="1">IF(AND($C18="Goal",BB$7&gt;=$F18,BB$7&lt;=$F18+$G18-1),2,IF(AND($C18="Milestone",BB$7&gt;=$F18,BB$7&lt;=$F18+$G18-1),1,""))</f>
        <v/>
      </c>
      <c r="BC18" s="126" t="str">
        <f ca="1">IF(AND($C18="Goal",BC$7&gt;=$F18,BC$7&lt;=$F18+$G18-1),2,IF(AND($C18="Milestone",BC$7&gt;=$F18,BC$7&lt;=$F18+$G18-1),1,""))</f>
        <v/>
      </c>
      <c r="BD18" s="126" t="str">
        <f ca="1">IF(AND($C18="Goal",BD$7&gt;=$F18,BD$7&lt;=$F18+$G18-1),2,IF(AND($C18="Milestone",BD$7&gt;=$F18,BD$7&lt;=$F18+$G18-1),1,""))</f>
        <v/>
      </c>
      <c r="BE18" s="126" t="str">
        <f ca="1">IF(AND($C18="Goal",BE$7&gt;=$F18,BE$7&lt;=$F18+$G18-1),2,IF(AND($C18="Milestone",BE$7&gt;=$F18,BE$7&lt;=$F18+$G18-1),1,""))</f>
        <v/>
      </c>
      <c r="BF18" s="126" t="str">
        <f ca="1">IF(AND($C18="Goal",BF$7&gt;=$F18,BF$7&lt;=$F18+$G18-1),2,IF(AND($C18="Milestone",BF$7&gt;=$F18,BF$7&lt;=$F18+$G18-1),1,""))</f>
        <v/>
      </c>
      <c r="BG18" s="126" t="str">
        <f ca="1">IF(AND($C18="Goal",BG$7&gt;=$F18,BG$7&lt;=$F18+$G18-1),2,IF(AND($C18="Milestone",BG$7&gt;=$F18,BG$7&lt;=$F18+$G18-1),1,""))</f>
        <v/>
      </c>
      <c r="BH18" s="126" t="str">
        <f ca="1">IF(AND($C18="Goal",BH$7&gt;=$F18,BH$7&lt;=$F18+$G18-1),2,IF(AND($C18="Milestone",BH$7&gt;=$F18,BH$7&lt;=$F18+$G18-1),1,""))</f>
        <v/>
      </c>
      <c r="BI18" s="126" t="str">
        <f ca="1">IF(AND($C18="Goal",BI$7&gt;=$F18,BI$7&lt;=$F18+$G18-1),2,IF(AND($C18="Milestone",BI$7&gt;=$F18,BI$7&lt;=$F18+$G18-1),1,""))</f>
        <v/>
      </c>
      <c r="BJ18" s="126" t="str">
        <f ca="1">IF(AND($C18="Goal",BJ$7&gt;=$F18,BJ$7&lt;=$F18+$G18-1),2,IF(AND($C18="Milestone",BJ$7&gt;=$F18,BJ$7&lt;=$F18+$G18-1),1,""))</f>
        <v/>
      </c>
      <c r="BK18" s="126" t="str">
        <f ca="1">IF(AND($C18="Goal",BK$7&gt;=$F18,BK$7&lt;=$F18+$G18-1),2,IF(AND($C18="Milestone",BK$7&gt;=$F18,BK$7&lt;=$F18+$G18-1),1,""))</f>
        <v/>
      </c>
      <c r="BL18" s="126" t="str">
        <f ca="1">IF(AND($C18="Goal",BL$7&gt;=$F18,BL$7&lt;=$F18+$G18-1),2,IF(AND($C18="Milestone",BL$7&gt;=$F18,BL$7&lt;=$F18+$G18-1),1,""))</f>
        <v/>
      </c>
      <c r="BM18" s="27"/>
    </row>
    <row r="19" spans="1:65" s="1" customFormat="1" ht="40" customHeight="1" x14ac:dyDescent="0.35">
      <c r="A19" s="9"/>
      <c r="B19" s="25" t="s">
        <v>70</v>
      </c>
      <c r="C19" s="21" t="s">
        <v>14</v>
      </c>
      <c r="D19" s="21" t="s">
        <v>75</v>
      </c>
      <c r="E19" s="22">
        <v>1</v>
      </c>
      <c r="F19" s="23">
        <f t="shared" si="9"/>
        <v>46290</v>
      </c>
      <c r="G19" s="24">
        <v>7</v>
      </c>
      <c r="H19" s="19"/>
      <c r="I19" s="125" t="str">
        <f ca="1">IF(AND($C19="Goal",I$7&gt;=$F19,I$7&lt;=$F19+$G19-1),2,IF(AND($C19="Milestone",I$7&gt;=$F19,I$7&lt;=$F19+$G19-1),1,""))</f>
        <v/>
      </c>
      <c r="J19" s="126" t="str">
        <f ca="1">IF(AND($C19="Goal",J$7&gt;=$F19,J$7&lt;=$F19+$G19-1),2,IF(AND($C19="Milestone",J$7&gt;=$F19,J$7&lt;=$F19+$G19-1),1,""))</f>
        <v/>
      </c>
      <c r="K19" s="126" t="str">
        <f ca="1">IF(AND($C19="Goal",K$7&gt;=$F19,K$7&lt;=$F19+$G19-1),2,IF(AND($C19="Milestone",K$7&gt;=$F19,K$7&lt;=$F19+$G19-1),1,""))</f>
        <v/>
      </c>
      <c r="L19" s="126" t="str">
        <f ca="1">IF(AND($C19="Goal",L$7&gt;=$F19,L$7&lt;=$F19+$G19-1),2,IF(AND($C19="Milestone",L$7&gt;=$F19,L$7&lt;=$F19+$G19-1),1,""))</f>
        <v/>
      </c>
      <c r="M19" s="126" t="str">
        <f ca="1">IF(AND($C19="Goal",M$7&gt;=$F19,M$7&lt;=$F19+$G19-1),2,IF(AND($C19="Milestone",M$7&gt;=$F19,M$7&lt;=$F19+$G19-1),1,""))</f>
        <v/>
      </c>
      <c r="N19" s="126" t="str">
        <f ca="1">IF(AND($C19="Goal",N$7&gt;=$F19,N$7&lt;=$F19+$G19-1),2,IF(AND($C19="Milestone",N$7&gt;=$F19,N$7&lt;=$F19+$G19-1),1,""))</f>
        <v/>
      </c>
      <c r="O19" s="126" t="str">
        <f ca="1">IF(AND($C19="Goal",O$7&gt;=$F19,O$7&lt;=$F19+$G19-1),2,IF(AND($C19="Milestone",O$7&gt;=$F19,O$7&lt;=$F19+$G19-1),1,""))</f>
        <v/>
      </c>
      <c r="P19" s="126" t="str">
        <f ca="1">IF(AND($C19="Goal",P$7&gt;=$F19,P$7&lt;=$F19+$G19-1),2,IF(AND($C19="Milestone",P$7&gt;=$F19,P$7&lt;=$F19+$G19-1),1,""))</f>
        <v/>
      </c>
      <c r="Q19" s="126" t="str">
        <f ca="1">IF(AND($C19="Goal",Q$7&gt;=$F19,Q$7&lt;=$F19+$G19-1),2,IF(AND($C19="Milestone",Q$7&gt;=$F19,Q$7&lt;=$F19+$G19-1),1,""))</f>
        <v/>
      </c>
      <c r="R19" s="126" t="str">
        <f ca="1">IF(AND($C19="Goal",R$7&gt;=$F19,R$7&lt;=$F19+$G19-1),2,IF(AND($C19="Milestone",R$7&gt;=$F19,R$7&lt;=$F19+$G19-1),1,""))</f>
        <v/>
      </c>
      <c r="S19" s="126" t="str">
        <f ca="1">IF(AND($C19="Goal",S$7&gt;=$F19,S$7&lt;=$F19+$G19-1),2,IF(AND($C19="Milestone",S$7&gt;=$F19,S$7&lt;=$F19+$G19-1),1,""))</f>
        <v/>
      </c>
      <c r="T19" s="126" t="str">
        <f ca="1">IF(AND($C19="Goal",T$7&gt;=$F19,T$7&lt;=$F19+$G19-1),2,IF(AND($C19="Milestone",T$7&gt;=$F19,T$7&lt;=$F19+$G19-1),1,""))</f>
        <v/>
      </c>
      <c r="U19" s="126" t="str">
        <f ca="1">IF(AND($C19="Goal",U$7&gt;=$F19,U$7&lt;=$F19+$G19-1),2,IF(AND($C19="Milestone",U$7&gt;=$F19,U$7&lt;=$F19+$G19-1),1,""))</f>
        <v/>
      </c>
      <c r="V19" s="126" t="str">
        <f ca="1">IF(AND($C19="Goal",V$7&gt;=$F19,V$7&lt;=$F19+$G19-1),2,IF(AND($C19="Milestone",V$7&gt;=$F19,V$7&lt;=$F19+$G19-1),1,""))</f>
        <v/>
      </c>
      <c r="W19" s="126" t="str">
        <f ca="1">IF(AND($C19="Goal",W$7&gt;=$F19,W$7&lt;=$F19+$G19-1),2,IF(AND($C19="Milestone",W$7&gt;=$F19,W$7&lt;=$F19+$G19-1),1,""))</f>
        <v/>
      </c>
      <c r="X19" s="126" t="str">
        <f ca="1">IF(AND($C19="Goal",X$7&gt;=$F19,X$7&lt;=$F19+$G19-1),2,IF(AND($C19="Milestone",X$7&gt;=$F19,X$7&lt;=$F19+$G19-1),1,""))</f>
        <v/>
      </c>
      <c r="Y19" s="126" t="str">
        <f ca="1">IF(AND($C19="Goal",Y$7&gt;=$F19,Y$7&lt;=$F19+$G19-1),2,IF(AND($C19="Milestone",Y$7&gt;=$F19,Y$7&lt;=$F19+$G19-1),1,""))</f>
        <v/>
      </c>
      <c r="Z19" s="126" t="str">
        <f ca="1">IF(AND($C19="Goal",Z$7&gt;=$F19,Z$7&lt;=$F19+$G19-1),2,IF(AND($C19="Milestone",Z$7&gt;=$F19,Z$7&lt;=$F19+$G19-1),1,""))</f>
        <v/>
      </c>
      <c r="AA19" s="126" t="str">
        <f ca="1">IF(AND($C19="Goal",AA$7&gt;=$F19,AA$7&lt;=$F19+$G19-1),2,IF(AND($C19="Milestone",AA$7&gt;=$F19,AA$7&lt;=$F19+$G19-1),1,""))</f>
        <v/>
      </c>
      <c r="AB19" s="126" t="str">
        <f ca="1">IF(AND($C19="Goal",AB$7&gt;=$F19,AB$7&lt;=$F19+$G19-1),2,IF(AND($C19="Milestone",AB$7&gt;=$F19,AB$7&lt;=$F19+$G19-1),1,""))</f>
        <v/>
      </c>
      <c r="AC19" s="126" t="str">
        <f ca="1">IF(AND($C19="Goal",AC$7&gt;=$F19,AC$7&lt;=$F19+$G19-1),2,IF(AND($C19="Milestone",AC$7&gt;=$F19,AC$7&lt;=$F19+$G19-1),1,""))</f>
        <v/>
      </c>
      <c r="AD19" s="126" t="str">
        <f ca="1">IF(AND($C19="Goal",AD$7&gt;=$F19,AD$7&lt;=$F19+$G19-1),2,IF(AND($C19="Milestone",AD$7&gt;=$F19,AD$7&lt;=$F19+$G19-1),1,""))</f>
        <v/>
      </c>
      <c r="AE19" s="126" t="str">
        <f ca="1">IF(AND($C19="Goal",AE$7&gt;=$F19,AE$7&lt;=$F19+$G19-1),2,IF(AND($C19="Milestone",AE$7&gt;=$F19,AE$7&lt;=$F19+$G19-1),1,""))</f>
        <v/>
      </c>
      <c r="AF19" s="126" t="str">
        <f ca="1">IF(AND($C19="Goal",AF$7&gt;=$F19,AF$7&lt;=$F19+$G19-1),2,IF(AND($C19="Milestone",AF$7&gt;=$F19,AF$7&lt;=$F19+$G19-1),1,""))</f>
        <v/>
      </c>
      <c r="AG19" s="126" t="str">
        <f ca="1">IF(AND($C19="Goal",AG$7&gt;=$F19,AG$7&lt;=$F19+$G19-1),2,IF(AND($C19="Milestone",AG$7&gt;=$F19,AG$7&lt;=$F19+$G19-1),1,""))</f>
        <v/>
      </c>
      <c r="AH19" s="126" t="str">
        <f ca="1">IF(AND($C19="Goal",AH$7&gt;=$F19,AH$7&lt;=$F19+$G19-1),2,IF(AND($C19="Milestone",AH$7&gt;=$F19,AH$7&lt;=$F19+$G19-1),1,""))</f>
        <v/>
      </c>
      <c r="AI19" s="126" t="str">
        <f ca="1">IF(AND($C19="Goal",AI$7&gt;=$F19,AI$7&lt;=$F19+$G19-1),2,IF(AND($C19="Milestone",AI$7&gt;=$F19,AI$7&lt;=$F19+$G19-1),1,""))</f>
        <v/>
      </c>
      <c r="AJ19" s="126" t="str">
        <f ca="1">IF(AND($C19="Goal",AJ$7&gt;=$F19,AJ$7&lt;=$F19+$G19-1),2,IF(AND($C19="Milestone",AJ$7&gt;=$F19,AJ$7&lt;=$F19+$G19-1),1,""))</f>
        <v/>
      </c>
      <c r="AK19" s="126" t="str">
        <f ca="1">IF(AND($C19="Goal",AK$7&gt;=$F19,AK$7&lt;=$F19+$G19-1),2,IF(AND($C19="Milestone",AK$7&gt;=$F19,AK$7&lt;=$F19+$G19-1),1,""))</f>
        <v/>
      </c>
      <c r="AL19" s="126" t="str">
        <f ca="1">IF(AND($C19="Goal",AL$7&gt;=$F19,AL$7&lt;=$F19+$G19-1),2,IF(AND($C19="Milestone",AL$7&gt;=$F19,AL$7&lt;=$F19+$G19-1),1,""))</f>
        <v/>
      </c>
      <c r="AM19" s="126" t="str">
        <f ca="1">IF(AND($C19="Goal",AM$7&gt;=$F19,AM$7&lt;=$F19+$G19-1),2,IF(AND($C19="Milestone",AM$7&gt;=$F19,AM$7&lt;=$F19+$G19-1),1,""))</f>
        <v/>
      </c>
      <c r="AN19" s="126" t="str">
        <f ca="1">IF(AND($C19="Goal",AN$7&gt;=$F19,AN$7&lt;=$F19+$G19-1),2,IF(AND($C19="Milestone",AN$7&gt;=$F19,AN$7&lt;=$F19+$G19-1),1,""))</f>
        <v/>
      </c>
      <c r="AO19" s="126" t="str">
        <f ca="1">IF(AND($C19="Goal",AO$7&gt;=$F19,AO$7&lt;=$F19+$G19-1),2,IF(AND($C19="Milestone",AO$7&gt;=$F19,AO$7&lt;=$F19+$G19-1),1,""))</f>
        <v/>
      </c>
      <c r="AP19" s="126" t="str">
        <f ca="1">IF(AND($C19="Goal",AP$7&gt;=$F19,AP$7&lt;=$F19+$G19-1),2,IF(AND($C19="Milestone",AP$7&gt;=$F19,AP$7&lt;=$F19+$G19-1),1,""))</f>
        <v/>
      </c>
      <c r="AQ19" s="126" t="str">
        <f ca="1">IF(AND($C19="Goal",AQ$7&gt;=$F19,AQ$7&lt;=$F19+$G19-1),2,IF(AND($C19="Milestone",AQ$7&gt;=$F19,AQ$7&lt;=$F19+$G19-1),1,""))</f>
        <v/>
      </c>
      <c r="AR19" s="126" t="str">
        <f ca="1">IF(AND($C19="Goal",AR$7&gt;=$F19,AR$7&lt;=$F19+$G19-1),2,IF(AND($C19="Milestone",AR$7&gt;=$F19,AR$7&lt;=$F19+$G19-1),1,""))</f>
        <v/>
      </c>
      <c r="AS19" s="126" t="str">
        <f ca="1">IF(AND($C19="Goal",AS$7&gt;=$F19,AS$7&lt;=$F19+$G19-1),2,IF(AND($C19="Milestone",AS$7&gt;=$F19,AS$7&lt;=$F19+$G19-1),1,""))</f>
        <v/>
      </c>
      <c r="AT19" s="126" t="str">
        <f ca="1">IF(AND($C19="Goal",AT$7&gt;=$F19,AT$7&lt;=$F19+$G19-1),2,IF(AND($C19="Milestone",AT$7&gt;=$F19,AT$7&lt;=$F19+$G19-1),1,""))</f>
        <v/>
      </c>
      <c r="AU19" s="126" t="str">
        <f ca="1">IF(AND($C19="Goal",AU$7&gt;=$F19,AU$7&lt;=$F19+$G19-1),2,IF(AND($C19="Milestone",AU$7&gt;=$F19,AU$7&lt;=$F19+$G19-1),1,""))</f>
        <v/>
      </c>
      <c r="AV19" s="126" t="str">
        <f ca="1">IF(AND($C19="Goal",AV$7&gt;=$F19,AV$7&lt;=$F19+$G19-1),2,IF(AND($C19="Milestone",AV$7&gt;=$F19,AV$7&lt;=$F19+$G19-1),1,""))</f>
        <v/>
      </c>
      <c r="AW19" s="126" t="str">
        <f ca="1">IF(AND($C19="Goal",AW$7&gt;=$F19,AW$7&lt;=$F19+$G19-1),2,IF(AND($C19="Milestone",AW$7&gt;=$F19,AW$7&lt;=$F19+$G19-1),1,""))</f>
        <v/>
      </c>
      <c r="AX19" s="126" t="str">
        <f ca="1">IF(AND($C19="Goal",AX$7&gt;=$F19,AX$7&lt;=$F19+$G19-1),2,IF(AND($C19="Milestone",AX$7&gt;=$F19,AX$7&lt;=$F19+$G19-1),1,""))</f>
        <v/>
      </c>
      <c r="AY19" s="126" t="str">
        <f ca="1">IF(AND($C19="Goal",AY$7&gt;=$F19,AY$7&lt;=$F19+$G19-1),2,IF(AND($C19="Milestone",AY$7&gt;=$F19,AY$7&lt;=$F19+$G19-1),1,""))</f>
        <v/>
      </c>
      <c r="AZ19" s="126" t="str">
        <f ca="1">IF(AND($C19="Goal",AZ$7&gt;=$F19,AZ$7&lt;=$F19+$G19-1),2,IF(AND($C19="Milestone",AZ$7&gt;=$F19,AZ$7&lt;=$F19+$G19-1),1,""))</f>
        <v/>
      </c>
      <c r="BA19" s="126" t="str">
        <f ca="1">IF(AND($C19="Goal",BA$7&gt;=$F19,BA$7&lt;=$F19+$G19-1),2,IF(AND($C19="Milestone",BA$7&gt;=$F19,BA$7&lt;=$F19+$G19-1),1,""))</f>
        <v/>
      </c>
      <c r="BB19" s="126" t="str">
        <f ca="1">IF(AND($C19="Goal",BB$7&gt;=$F19,BB$7&lt;=$F19+$G19-1),2,IF(AND($C19="Milestone",BB$7&gt;=$F19,BB$7&lt;=$F19+$G19-1),1,""))</f>
        <v/>
      </c>
      <c r="BC19" s="126" t="str">
        <f ca="1">IF(AND($C19="Goal",BC$7&gt;=$F19,BC$7&lt;=$F19+$G19-1),2,IF(AND($C19="Milestone",BC$7&gt;=$F19,BC$7&lt;=$F19+$G19-1),1,""))</f>
        <v/>
      </c>
      <c r="BD19" s="126" t="str">
        <f ca="1">IF(AND($C19="Goal",BD$7&gt;=$F19,BD$7&lt;=$F19+$G19-1),2,IF(AND($C19="Milestone",BD$7&gt;=$F19,BD$7&lt;=$F19+$G19-1),1,""))</f>
        <v/>
      </c>
      <c r="BE19" s="126" t="str">
        <f ca="1">IF(AND($C19="Goal",BE$7&gt;=$F19,BE$7&lt;=$F19+$G19-1),2,IF(AND($C19="Milestone",BE$7&gt;=$F19,BE$7&lt;=$F19+$G19-1),1,""))</f>
        <v/>
      </c>
      <c r="BF19" s="126" t="str">
        <f ca="1">IF(AND($C19="Goal",BF$7&gt;=$F19,BF$7&lt;=$F19+$G19-1),2,IF(AND($C19="Milestone",BF$7&gt;=$F19,BF$7&lt;=$F19+$G19-1),1,""))</f>
        <v/>
      </c>
      <c r="BG19" s="126" t="str">
        <f ca="1">IF(AND($C19="Goal",BG$7&gt;=$F19,BG$7&lt;=$F19+$G19-1),2,IF(AND($C19="Milestone",BG$7&gt;=$F19,BG$7&lt;=$F19+$G19-1),1,""))</f>
        <v/>
      </c>
      <c r="BH19" s="126" t="str">
        <f ca="1">IF(AND($C19="Goal",BH$7&gt;=$F19,BH$7&lt;=$F19+$G19-1),2,IF(AND($C19="Milestone",BH$7&gt;=$F19,BH$7&lt;=$F19+$G19-1),1,""))</f>
        <v/>
      </c>
      <c r="BI19" s="126" t="str">
        <f ca="1">IF(AND($C19="Goal",BI$7&gt;=$F19,BI$7&lt;=$F19+$G19-1),2,IF(AND($C19="Milestone",BI$7&gt;=$F19,BI$7&lt;=$F19+$G19-1),1,""))</f>
        <v/>
      </c>
      <c r="BJ19" s="126" t="str">
        <f ca="1">IF(AND($C19="Goal",BJ$7&gt;=$F19,BJ$7&lt;=$F19+$G19-1),2,IF(AND($C19="Milestone",BJ$7&gt;=$F19,BJ$7&lt;=$F19+$G19-1),1,""))</f>
        <v/>
      </c>
      <c r="BK19" s="126" t="str">
        <f ca="1">IF(AND($C19="Goal",BK$7&gt;=$F19,BK$7&lt;=$F19+$G19-1),2,IF(AND($C19="Milestone",BK$7&gt;=$F19,BK$7&lt;=$F19+$G19-1),1,""))</f>
        <v/>
      </c>
      <c r="BL19" s="126" t="str">
        <f ca="1">IF(AND($C19="Goal",BL$7&gt;=$F19,BL$7&lt;=$F19+$G19-1),2,IF(AND($C19="Milestone",BL$7&gt;=$F19,BL$7&lt;=$F19+$G19-1),1,""))</f>
        <v/>
      </c>
      <c r="BM19" s="27"/>
    </row>
    <row r="20" spans="1:65" s="1" customFormat="1" ht="40" customHeight="1" x14ac:dyDescent="0.35">
      <c r="A20" s="9"/>
      <c r="B20" s="25" t="s">
        <v>71</v>
      </c>
      <c r="C20" s="21" t="s">
        <v>14</v>
      </c>
      <c r="D20" s="21" t="s">
        <v>76</v>
      </c>
      <c r="E20" s="22">
        <v>1</v>
      </c>
      <c r="F20" s="23">
        <f t="shared" si="9"/>
        <v>46290</v>
      </c>
      <c r="G20" s="24">
        <v>7</v>
      </c>
      <c r="H20" s="19"/>
      <c r="I20" s="125" t="str">
        <f ca="1">IF(AND($C20="Goal",I$7&gt;=$F20,I$7&lt;=$F20+$G20-1),2,IF(AND($C20="Milestone",I$7&gt;=$F20,I$7&lt;=$F20+$G20-1),1,""))</f>
        <v/>
      </c>
      <c r="J20" s="126" t="str">
        <f ca="1">IF(AND($C20="Goal",J$7&gt;=$F20,J$7&lt;=$F20+$G20-1),2,IF(AND($C20="Milestone",J$7&gt;=$F20,J$7&lt;=$F20+$G20-1),1,""))</f>
        <v/>
      </c>
      <c r="K20" s="126" t="str">
        <f ca="1">IF(AND($C20="Goal",K$7&gt;=$F20,K$7&lt;=$F20+$G20-1),2,IF(AND($C20="Milestone",K$7&gt;=$F20,K$7&lt;=$F20+$G20-1),1,""))</f>
        <v/>
      </c>
      <c r="L20" s="126" t="str">
        <f ca="1">IF(AND($C20="Goal",L$7&gt;=$F20,L$7&lt;=$F20+$G20-1),2,IF(AND($C20="Milestone",L$7&gt;=$F20,L$7&lt;=$F20+$G20-1),1,""))</f>
        <v/>
      </c>
      <c r="M20" s="126" t="str">
        <f ca="1">IF(AND($C20="Goal",M$7&gt;=$F20,M$7&lt;=$F20+$G20-1),2,IF(AND($C20="Milestone",M$7&gt;=$F20,M$7&lt;=$F20+$G20-1),1,""))</f>
        <v/>
      </c>
      <c r="N20" s="126" t="str">
        <f ca="1">IF(AND($C20="Goal",N$7&gt;=$F20,N$7&lt;=$F20+$G20-1),2,IF(AND($C20="Milestone",N$7&gt;=$F20,N$7&lt;=$F20+$G20-1),1,""))</f>
        <v/>
      </c>
      <c r="O20" s="126" t="str">
        <f ca="1">IF(AND($C20="Goal",O$7&gt;=$F20,O$7&lt;=$F20+$G20-1),2,IF(AND($C20="Milestone",O$7&gt;=$F20,O$7&lt;=$F20+$G20-1),1,""))</f>
        <v/>
      </c>
      <c r="P20" s="126" t="str">
        <f ca="1">IF(AND($C20="Goal",P$7&gt;=$F20,P$7&lt;=$F20+$G20-1),2,IF(AND($C20="Milestone",P$7&gt;=$F20,P$7&lt;=$F20+$G20-1),1,""))</f>
        <v/>
      </c>
      <c r="Q20" s="126" t="str">
        <f ca="1">IF(AND($C20="Goal",Q$7&gt;=$F20,Q$7&lt;=$F20+$G20-1),2,IF(AND($C20="Milestone",Q$7&gt;=$F20,Q$7&lt;=$F20+$G20-1),1,""))</f>
        <v/>
      </c>
      <c r="R20" s="126" t="str">
        <f ca="1">IF(AND($C20="Goal",R$7&gt;=$F20,R$7&lt;=$F20+$G20-1),2,IF(AND($C20="Milestone",R$7&gt;=$F20,R$7&lt;=$F20+$G20-1),1,""))</f>
        <v/>
      </c>
      <c r="S20" s="126" t="str">
        <f ca="1">IF(AND($C20="Goal",S$7&gt;=$F20,S$7&lt;=$F20+$G20-1),2,IF(AND($C20="Milestone",S$7&gt;=$F20,S$7&lt;=$F20+$G20-1),1,""))</f>
        <v/>
      </c>
      <c r="T20" s="126" t="str">
        <f ca="1">IF(AND($C20="Goal",T$7&gt;=$F20,T$7&lt;=$F20+$G20-1),2,IF(AND($C20="Milestone",T$7&gt;=$F20,T$7&lt;=$F20+$G20-1),1,""))</f>
        <v/>
      </c>
      <c r="U20" s="126" t="str">
        <f ca="1">IF(AND($C20="Goal",U$7&gt;=$F20,U$7&lt;=$F20+$G20-1),2,IF(AND($C20="Milestone",U$7&gt;=$F20,U$7&lt;=$F20+$G20-1),1,""))</f>
        <v/>
      </c>
      <c r="V20" s="126" t="str">
        <f ca="1">IF(AND($C20="Goal",V$7&gt;=$F20,V$7&lt;=$F20+$G20-1),2,IF(AND($C20="Milestone",V$7&gt;=$F20,V$7&lt;=$F20+$G20-1),1,""))</f>
        <v/>
      </c>
      <c r="W20" s="126" t="str">
        <f ca="1">IF(AND($C20="Goal",W$7&gt;=$F20,W$7&lt;=$F20+$G20-1),2,IF(AND($C20="Milestone",W$7&gt;=$F20,W$7&lt;=$F20+$G20-1),1,""))</f>
        <v/>
      </c>
      <c r="X20" s="126" t="str">
        <f ca="1">IF(AND($C20="Goal",X$7&gt;=$F20,X$7&lt;=$F20+$G20-1),2,IF(AND($C20="Milestone",X$7&gt;=$F20,X$7&lt;=$F20+$G20-1),1,""))</f>
        <v/>
      </c>
      <c r="Y20" s="126" t="str">
        <f ca="1">IF(AND($C20="Goal",Y$7&gt;=$F20,Y$7&lt;=$F20+$G20-1),2,IF(AND($C20="Milestone",Y$7&gt;=$F20,Y$7&lt;=$F20+$G20-1),1,""))</f>
        <v/>
      </c>
      <c r="Z20" s="126" t="str">
        <f ca="1">IF(AND($C20="Goal",Z$7&gt;=$F20,Z$7&lt;=$F20+$G20-1),2,IF(AND($C20="Milestone",Z$7&gt;=$F20,Z$7&lt;=$F20+$G20-1),1,""))</f>
        <v/>
      </c>
      <c r="AA20" s="126" t="str">
        <f ca="1">IF(AND($C20="Goal",AA$7&gt;=$F20,AA$7&lt;=$F20+$G20-1),2,IF(AND($C20="Milestone",AA$7&gt;=$F20,AA$7&lt;=$F20+$G20-1),1,""))</f>
        <v/>
      </c>
      <c r="AB20" s="126" t="str">
        <f ca="1">IF(AND($C20="Goal",AB$7&gt;=$F20,AB$7&lt;=$F20+$G20-1),2,IF(AND($C20="Milestone",AB$7&gt;=$F20,AB$7&lt;=$F20+$G20-1),1,""))</f>
        <v/>
      </c>
      <c r="AC20" s="126" t="str">
        <f ca="1">IF(AND($C20="Goal",AC$7&gt;=$F20,AC$7&lt;=$F20+$G20-1),2,IF(AND($C20="Milestone",AC$7&gt;=$F20,AC$7&lt;=$F20+$G20-1),1,""))</f>
        <v/>
      </c>
      <c r="AD20" s="126" t="str">
        <f ca="1">IF(AND($C20="Goal",AD$7&gt;=$F20,AD$7&lt;=$F20+$G20-1),2,IF(AND($C20="Milestone",AD$7&gt;=$F20,AD$7&lt;=$F20+$G20-1),1,""))</f>
        <v/>
      </c>
      <c r="AE20" s="126" t="str">
        <f ca="1">IF(AND($C20="Goal",AE$7&gt;=$F20,AE$7&lt;=$F20+$G20-1),2,IF(AND($C20="Milestone",AE$7&gt;=$F20,AE$7&lt;=$F20+$G20-1),1,""))</f>
        <v/>
      </c>
      <c r="AF20" s="126" t="str">
        <f ca="1">IF(AND($C20="Goal",AF$7&gt;=$F20,AF$7&lt;=$F20+$G20-1),2,IF(AND($C20="Milestone",AF$7&gt;=$F20,AF$7&lt;=$F20+$G20-1),1,""))</f>
        <v/>
      </c>
      <c r="AG20" s="126" t="str">
        <f ca="1">IF(AND($C20="Goal",AG$7&gt;=$F20,AG$7&lt;=$F20+$G20-1),2,IF(AND($C20="Milestone",AG$7&gt;=$F20,AG$7&lt;=$F20+$G20-1),1,""))</f>
        <v/>
      </c>
      <c r="AH20" s="126" t="str">
        <f ca="1">IF(AND($C20="Goal",AH$7&gt;=$F20,AH$7&lt;=$F20+$G20-1),2,IF(AND($C20="Milestone",AH$7&gt;=$F20,AH$7&lt;=$F20+$G20-1),1,""))</f>
        <v/>
      </c>
      <c r="AI20" s="126" t="str">
        <f ca="1">IF(AND($C20="Goal",AI$7&gt;=$F20,AI$7&lt;=$F20+$G20-1),2,IF(AND($C20="Milestone",AI$7&gt;=$F20,AI$7&lt;=$F20+$G20-1),1,""))</f>
        <v/>
      </c>
      <c r="AJ20" s="126" t="str">
        <f ca="1">IF(AND($C20="Goal",AJ$7&gt;=$F20,AJ$7&lt;=$F20+$G20-1),2,IF(AND($C20="Milestone",AJ$7&gt;=$F20,AJ$7&lt;=$F20+$G20-1),1,""))</f>
        <v/>
      </c>
      <c r="AK20" s="126" t="str">
        <f ca="1">IF(AND($C20="Goal",AK$7&gt;=$F20,AK$7&lt;=$F20+$G20-1),2,IF(AND($C20="Milestone",AK$7&gt;=$F20,AK$7&lt;=$F20+$G20-1),1,""))</f>
        <v/>
      </c>
      <c r="AL20" s="126" t="str">
        <f ca="1">IF(AND($C20="Goal",AL$7&gt;=$F20,AL$7&lt;=$F20+$G20-1),2,IF(AND($C20="Milestone",AL$7&gt;=$F20,AL$7&lt;=$F20+$G20-1),1,""))</f>
        <v/>
      </c>
      <c r="AM20" s="126" t="str">
        <f ca="1">IF(AND($C20="Goal",AM$7&gt;=$F20,AM$7&lt;=$F20+$G20-1),2,IF(AND($C20="Milestone",AM$7&gt;=$F20,AM$7&lt;=$F20+$G20-1),1,""))</f>
        <v/>
      </c>
      <c r="AN20" s="126" t="str">
        <f ca="1">IF(AND($C20="Goal",AN$7&gt;=$F20,AN$7&lt;=$F20+$G20-1),2,IF(AND($C20="Milestone",AN$7&gt;=$F20,AN$7&lt;=$F20+$G20-1),1,""))</f>
        <v/>
      </c>
      <c r="AO20" s="126" t="str">
        <f ca="1">IF(AND($C20="Goal",AO$7&gt;=$F20,AO$7&lt;=$F20+$G20-1),2,IF(AND($C20="Milestone",AO$7&gt;=$F20,AO$7&lt;=$F20+$G20-1),1,""))</f>
        <v/>
      </c>
      <c r="AP20" s="126" t="str">
        <f ca="1">IF(AND($C20="Goal",AP$7&gt;=$F20,AP$7&lt;=$F20+$G20-1),2,IF(AND($C20="Milestone",AP$7&gt;=$F20,AP$7&lt;=$F20+$G20-1),1,""))</f>
        <v/>
      </c>
      <c r="AQ20" s="126" t="str">
        <f ca="1">IF(AND($C20="Goal",AQ$7&gt;=$F20,AQ$7&lt;=$F20+$G20-1),2,IF(AND($C20="Milestone",AQ$7&gt;=$F20,AQ$7&lt;=$F20+$G20-1),1,""))</f>
        <v/>
      </c>
      <c r="AR20" s="126" t="str">
        <f ca="1">IF(AND($C20="Goal",AR$7&gt;=$F20,AR$7&lt;=$F20+$G20-1),2,IF(AND($C20="Milestone",AR$7&gt;=$F20,AR$7&lt;=$F20+$G20-1),1,""))</f>
        <v/>
      </c>
      <c r="AS20" s="126" t="str">
        <f ca="1">IF(AND($C20="Goal",AS$7&gt;=$F20,AS$7&lt;=$F20+$G20-1),2,IF(AND($C20="Milestone",AS$7&gt;=$F20,AS$7&lt;=$F20+$G20-1),1,""))</f>
        <v/>
      </c>
      <c r="AT20" s="126" t="str">
        <f ca="1">IF(AND($C20="Goal",AT$7&gt;=$F20,AT$7&lt;=$F20+$G20-1),2,IF(AND($C20="Milestone",AT$7&gt;=$F20,AT$7&lt;=$F20+$G20-1),1,""))</f>
        <v/>
      </c>
      <c r="AU20" s="126" t="str">
        <f ca="1">IF(AND($C20="Goal",AU$7&gt;=$F20,AU$7&lt;=$F20+$G20-1),2,IF(AND($C20="Milestone",AU$7&gt;=$F20,AU$7&lt;=$F20+$G20-1),1,""))</f>
        <v/>
      </c>
      <c r="AV20" s="126" t="str">
        <f ca="1">IF(AND($C20="Goal",AV$7&gt;=$F20,AV$7&lt;=$F20+$G20-1),2,IF(AND($C20="Milestone",AV$7&gt;=$F20,AV$7&lt;=$F20+$G20-1),1,""))</f>
        <v/>
      </c>
      <c r="AW20" s="126" t="str">
        <f ca="1">IF(AND($C20="Goal",AW$7&gt;=$F20,AW$7&lt;=$F20+$G20-1),2,IF(AND($C20="Milestone",AW$7&gt;=$F20,AW$7&lt;=$F20+$G20-1),1,""))</f>
        <v/>
      </c>
      <c r="AX20" s="126" t="str">
        <f ca="1">IF(AND($C20="Goal",AX$7&gt;=$F20,AX$7&lt;=$F20+$G20-1),2,IF(AND($C20="Milestone",AX$7&gt;=$F20,AX$7&lt;=$F20+$G20-1),1,""))</f>
        <v/>
      </c>
      <c r="AY20" s="126" t="str">
        <f ca="1">IF(AND($C20="Goal",AY$7&gt;=$F20,AY$7&lt;=$F20+$G20-1),2,IF(AND($C20="Milestone",AY$7&gt;=$F20,AY$7&lt;=$F20+$G20-1),1,""))</f>
        <v/>
      </c>
      <c r="AZ20" s="126" t="str">
        <f ca="1">IF(AND($C20="Goal",AZ$7&gt;=$F20,AZ$7&lt;=$F20+$G20-1),2,IF(AND($C20="Milestone",AZ$7&gt;=$F20,AZ$7&lt;=$F20+$G20-1),1,""))</f>
        <v/>
      </c>
      <c r="BA20" s="126" t="str">
        <f ca="1">IF(AND($C20="Goal",BA$7&gt;=$F20,BA$7&lt;=$F20+$G20-1),2,IF(AND($C20="Milestone",BA$7&gt;=$F20,BA$7&lt;=$F20+$G20-1),1,""))</f>
        <v/>
      </c>
      <c r="BB20" s="126" t="str">
        <f ca="1">IF(AND($C20="Goal",BB$7&gt;=$F20,BB$7&lt;=$F20+$G20-1),2,IF(AND($C20="Milestone",BB$7&gt;=$F20,BB$7&lt;=$F20+$G20-1),1,""))</f>
        <v/>
      </c>
      <c r="BC20" s="126" t="str">
        <f ca="1">IF(AND($C20="Goal",BC$7&gt;=$F20,BC$7&lt;=$F20+$G20-1),2,IF(AND($C20="Milestone",BC$7&gt;=$F20,BC$7&lt;=$F20+$G20-1),1,""))</f>
        <v/>
      </c>
      <c r="BD20" s="126" t="str">
        <f ca="1">IF(AND($C20="Goal",BD$7&gt;=$F20,BD$7&lt;=$F20+$G20-1),2,IF(AND($C20="Milestone",BD$7&gt;=$F20,BD$7&lt;=$F20+$G20-1),1,""))</f>
        <v/>
      </c>
      <c r="BE20" s="126" t="str">
        <f ca="1">IF(AND($C20="Goal",BE$7&gt;=$F20,BE$7&lt;=$F20+$G20-1),2,IF(AND($C20="Milestone",BE$7&gt;=$F20,BE$7&lt;=$F20+$G20-1),1,""))</f>
        <v/>
      </c>
      <c r="BF20" s="126" t="str">
        <f ca="1">IF(AND($C20="Goal",BF$7&gt;=$F20,BF$7&lt;=$F20+$G20-1),2,IF(AND($C20="Milestone",BF$7&gt;=$F20,BF$7&lt;=$F20+$G20-1),1,""))</f>
        <v/>
      </c>
      <c r="BG20" s="126" t="str">
        <f ca="1">IF(AND($C20="Goal",BG$7&gt;=$F20,BG$7&lt;=$F20+$G20-1),2,IF(AND($C20="Milestone",BG$7&gt;=$F20,BG$7&lt;=$F20+$G20-1),1,""))</f>
        <v/>
      </c>
      <c r="BH20" s="126" t="str">
        <f ca="1">IF(AND($C20="Goal",BH$7&gt;=$F20,BH$7&lt;=$F20+$G20-1),2,IF(AND($C20="Milestone",BH$7&gt;=$F20,BH$7&lt;=$F20+$G20-1),1,""))</f>
        <v/>
      </c>
      <c r="BI20" s="126" t="str">
        <f ca="1">IF(AND($C20="Goal",BI$7&gt;=$F20,BI$7&lt;=$F20+$G20-1),2,IF(AND($C20="Milestone",BI$7&gt;=$F20,BI$7&lt;=$F20+$G20-1),1,""))</f>
        <v/>
      </c>
      <c r="BJ20" s="126" t="str">
        <f ca="1">IF(AND($C20="Goal",BJ$7&gt;=$F20,BJ$7&lt;=$F20+$G20-1),2,IF(AND($C20="Milestone",BJ$7&gt;=$F20,BJ$7&lt;=$F20+$G20-1),1,""))</f>
        <v/>
      </c>
      <c r="BK20" s="126" t="str">
        <f ca="1">IF(AND($C20="Goal",BK$7&gt;=$F20,BK$7&lt;=$F20+$G20-1),2,IF(AND($C20="Milestone",BK$7&gt;=$F20,BK$7&lt;=$F20+$G20-1),1,""))</f>
        <v/>
      </c>
      <c r="BL20" s="126" t="str">
        <f ca="1">IF(AND($C20="Goal",BL$7&gt;=$F20,BL$7&lt;=$F20+$G20-1),2,IF(AND($C20="Milestone",BL$7&gt;=$F20,BL$7&lt;=$F20+$G20-1),1,""))</f>
        <v/>
      </c>
      <c r="BM20" s="27"/>
    </row>
    <row r="21" spans="1:65" s="1" customFormat="1" ht="40" customHeight="1" x14ac:dyDescent="0.35">
      <c r="A21" s="9"/>
      <c r="B21" s="25" t="s">
        <v>72</v>
      </c>
      <c r="C21" s="21" t="s">
        <v>14</v>
      </c>
      <c r="D21" s="21" t="s">
        <v>77</v>
      </c>
      <c r="E21" s="22">
        <v>1</v>
      </c>
      <c r="F21" s="23">
        <f t="shared" si="9"/>
        <v>46290</v>
      </c>
      <c r="G21" s="24">
        <v>7</v>
      </c>
      <c r="H21" s="19"/>
      <c r="I21" s="125" t="str">
        <f ca="1">IF(AND($C21="Goal",I$7&gt;=$F21,I$7&lt;=$F21+$G21-1),2,IF(AND($C21="Milestone",I$7&gt;=$F21,I$7&lt;=$F21+$G21-1),1,""))</f>
        <v/>
      </c>
      <c r="J21" s="126" t="str">
        <f ca="1">IF(AND($C21="Goal",J$7&gt;=$F21,J$7&lt;=$F21+$G21-1),2,IF(AND($C21="Milestone",J$7&gt;=$F21,J$7&lt;=$F21+$G21-1),1,""))</f>
        <v/>
      </c>
      <c r="K21" s="126" t="str">
        <f ca="1">IF(AND($C21="Goal",K$7&gt;=$F21,K$7&lt;=$F21+$G21-1),2,IF(AND($C21="Milestone",K$7&gt;=$F21,K$7&lt;=$F21+$G21-1),1,""))</f>
        <v/>
      </c>
      <c r="L21" s="126" t="str">
        <f ca="1">IF(AND($C21="Goal",L$7&gt;=$F21,L$7&lt;=$F21+$G21-1),2,IF(AND($C21="Milestone",L$7&gt;=$F21,L$7&lt;=$F21+$G21-1),1,""))</f>
        <v/>
      </c>
      <c r="M21" s="126" t="str">
        <f ca="1">IF(AND($C21="Goal",M$7&gt;=$F21,M$7&lt;=$F21+$G21-1),2,IF(AND($C21="Milestone",M$7&gt;=$F21,M$7&lt;=$F21+$G21-1),1,""))</f>
        <v/>
      </c>
      <c r="N21" s="126" t="str">
        <f ca="1">IF(AND($C21="Goal",N$7&gt;=$F21,N$7&lt;=$F21+$G21-1),2,IF(AND($C21="Milestone",N$7&gt;=$F21,N$7&lt;=$F21+$G21-1),1,""))</f>
        <v/>
      </c>
      <c r="O21" s="126" t="str">
        <f ca="1">IF(AND($C21="Goal",O$7&gt;=$F21,O$7&lt;=$F21+$G21-1),2,IF(AND($C21="Milestone",O$7&gt;=$F21,O$7&lt;=$F21+$G21-1),1,""))</f>
        <v/>
      </c>
      <c r="P21" s="126" t="str">
        <f ca="1">IF(AND($C21="Goal",P$7&gt;=$F21,P$7&lt;=$F21+$G21-1),2,IF(AND($C21="Milestone",P$7&gt;=$F21,P$7&lt;=$F21+$G21-1),1,""))</f>
        <v/>
      </c>
      <c r="Q21" s="126" t="str">
        <f ca="1">IF(AND($C21="Goal",Q$7&gt;=$F21,Q$7&lt;=$F21+$G21-1),2,IF(AND($C21="Milestone",Q$7&gt;=$F21,Q$7&lt;=$F21+$G21-1),1,""))</f>
        <v/>
      </c>
      <c r="R21" s="126" t="str">
        <f ca="1">IF(AND($C21="Goal",R$7&gt;=$F21,R$7&lt;=$F21+$G21-1),2,IF(AND($C21="Milestone",R$7&gt;=$F21,R$7&lt;=$F21+$G21-1),1,""))</f>
        <v/>
      </c>
      <c r="S21" s="126" t="str">
        <f ca="1">IF(AND($C21="Goal",S$7&gt;=$F21,S$7&lt;=$F21+$G21-1),2,IF(AND($C21="Milestone",S$7&gt;=$F21,S$7&lt;=$F21+$G21-1),1,""))</f>
        <v/>
      </c>
      <c r="T21" s="126" t="str">
        <f ca="1">IF(AND($C21="Goal",T$7&gt;=$F21,T$7&lt;=$F21+$G21-1),2,IF(AND($C21="Milestone",T$7&gt;=$F21,T$7&lt;=$F21+$G21-1),1,""))</f>
        <v/>
      </c>
      <c r="U21" s="126" t="str">
        <f ca="1">IF(AND($C21="Goal",U$7&gt;=$F21,U$7&lt;=$F21+$G21-1),2,IF(AND($C21="Milestone",U$7&gt;=$F21,U$7&lt;=$F21+$G21-1),1,""))</f>
        <v/>
      </c>
      <c r="V21" s="126" t="str">
        <f ca="1">IF(AND($C21="Goal",V$7&gt;=$F21,V$7&lt;=$F21+$G21-1),2,IF(AND($C21="Milestone",V$7&gt;=$F21,V$7&lt;=$F21+$G21-1),1,""))</f>
        <v/>
      </c>
      <c r="W21" s="126" t="str">
        <f ca="1">IF(AND($C21="Goal",W$7&gt;=$F21,W$7&lt;=$F21+$G21-1),2,IF(AND($C21="Milestone",W$7&gt;=$F21,W$7&lt;=$F21+$G21-1),1,""))</f>
        <v/>
      </c>
      <c r="X21" s="126" t="str">
        <f ca="1">IF(AND($C21="Goal",X$7&gt;=$F21,X$7&lt;=$F21+$G21-1),2,IF(AND($C21="Milestone",X$7&gt;=$F21,X$7&lt;=$F21+$G21-1),1,""))</f>
        <v/>
      </c>
      <c r="Y21" s="126" t="str">
        <f ca="1">IF(AND($C21="Goal",Y$7&gt;=$F21,Y$7&lt;=$F21+$G21-1),2,IF(AND($C21="Milestone",Y$7&gt;=$F21,Y$7&lt;=$F21+$G21-1),1,""))</f>
        <v/>
      </c>
      <c r="Z21" s="126" t="str">
        <f ca="1">IF(AND($C21="Goal",Z$7&gt;=$F21,Z$7&lt;=$F21+$G21-1),2,IF(AND($C21="Milestone",Z$7&gt;=$F21,Z$7&lt;=$F21+$G21-1),1,""))</f>
        <v/>
      </c>
      <c r="AA21" s="126" t="str">
        <f ca="1">IF(AND($C21="Goal",AA$7&gt;=$F21,AA$7&lt;=$F21+$G21-1),2,IF(AND($C21="Milestone",AA$7&gt;=$F21,AA$7&lt;=$F21+$G21-1),1,""))</f>
        <v/>
      </c>
      <c r="AB21" s="126" t="str">
        <f ca="1">IF(AND($C21="Goal",AB$7&gt;=$F21,AB$7&lt;=$F21+$G21-1),2,IF(AND($C21="Milestone",AB$7&gt;=$F21,AB$7&lt;=$F21+$G21-1),1,""))</f>
        <v/>
      </c>
      <c r="AC21" s="126" t="str">
        <f ca="1">IF(AND($C21="Goal",AC$7&gt;=$F21,AC$7&lt;=$F21+$G21-1),2,IF(AND($C21="Milestone",AC$7&gt;=$F21,AC$7&lt;=$F21+$G21-1),1,""))</f>
        <v/>
      </c>
      <c r="AD21" s="126" t="str">
        <f ca="1">IF(AND($C21="Goal",AD$7&gt;=$F21,AD$7&lt;=$F21+$G21-1),2,IF(AND($C21="Milestone",AD$7&gt;=$F21,AD$7&lt;=$F21+$G21-1),1,""))</f>
        <v/>
      </c>
      <c r="AE21" s="126" t="str">
        <f ca="1">IF(AND($C21="Goal",AE$7&gt;=$F21,AE$7&lt;=$F21+$G21-1),2,IF(AND($C21="Milestone",AE$7&gt;=$F21,AE$7&lt;=$F21+$G21-1),1,""))</f>
        <v/>
      </c>
      <c r="AF21" s="126" t="str">
        <f ca="1">IF(AND($C21="Goal",AF$7&gt;=$F21,AF$7&lt;=$F21+$G21-1),2,IF(AND($C21="Milestone",AF$7&gt;=$F21,AF$7&lt;=$F21+$G21-1),1,""))</f>
        <v/>
      </c>
      <c r="AG21" s="126" t="str">
        <f ca="1">IF(AND($C21="Goal",AG$7&gt;=$F21,AG$7&lt;=$F21+$G21-1),2,IF(AND($C21="Milestone",AG$7&gt;=$F21,AG$7&lt;=$F21+$G21-1),1,""))</f>
        <v/>
      </c>
      <c r="AH21" s="126" t="str">
        <f ca="1">IF(AND($C21="Goal",AH$7&gt;=$F21,AH$7&lt;=$F21+$G21-1),2,IF(AND($C21="Milestone",AH$7&gt;=$F21,AH$7&lt;=$F21+$G21-1),1,""))</f>
        <v/>
      </c>
      <c r="AI21" s="126" t="str">
        <f ca="1">IF(AND($C21="Goal",AI$7&gt;=$F21,AI$7&lt;=$F21+$G21-1),2,IF(AND($C21="Milestone",AI$7&gt;=$F21,AI$7&lt;=$F21+$G21-1),1,""))</f>
        <v/>
      </c>
      <c r="AJ21" s="126" t="str">
        <f ca="1">IF(AND($C21="Goal",AJ$7&gt;=$F21,AJ$7&lt;=$F21+$G21-1),2,IF(AND($C21="Milestone",AJ$7&gt;=$F21,AJ$7&lt;=$F21+$G21-1),1,""))</f>
        <v/>
      </c>
      <c r="AK21" s="126" t="str">
        <f ca="1">IF(AND($C21="Goal",AK$7&gt;=$F21,AK$7&lt;=$F21+$G21-1),2,IF(AND($C21="Milestone",AK$7&gt;=$F21,AK$7&lt;=$F21+$G21-1),1,""))</f>
        <v/>
      </c>
      <c r="AL21" s="126" t="str">
        <f ca="1">IF(AND($C21="Goal",AL$7&gt;=$F21,AL$7&lt;=$F21+$G21-1),2,IF(AND($C21="Milestone",AL$7&gt;=$F21,AL$7&lt;=$F21+$G21-1),1,""))</f>
        <v/>
      </c>
      <c r="AM21" s="126" t="str">
        <f ca="1">IF(AND($C21="Goal",AM$7&gt;=$F21,AM$7&lt;=$F21+$G21-1),2,IF(AND($C21="Milestone",AM$7&gt;=$F21,AM$7&lt;=$F21+$G21-1),1,""))</f>
        <v/>
      </c>
      <c r="AN21" s="126" t="str">
        <f ca="1">IF(AND($C21="Goal",AN$7&gt;=$F21,AN$7&lt;=$F21+$G21-1),2,IF(AND($C21="Milestone",AN$7&gt;=$F21,AN$7&lt;=$F21+$G21-1),1,""))</f>
        <v/>
      </c>
      <c r="AO21" s="126" t="str">
        <f ca="1">IF(AND($C21="Goal",AO$7&gt;=$F21,AO$7&lt;=$F21+$G21-1),2,IF(AND($C21="Milestone",AO$7&gt;=$F21,AO$7&lt;=$F21+$G21-1),1,""))</f>
        <v/>
      </c>
      <c r="AP21" s="126" t="str">
        <f ca="1">IF(AND($C21="Goal",AP$7&gt;=$F21,AP$7&lt;=$F21+$G21-1),2,IF(AND($C21="Milestone",AP$7&gt;=$F21,AP$7&lt;=$F21+$G21-1),1,""))</f>
        <v/>
      </c>
      <c r="AQ21" s="126" t="str">
        <f ca="1">IF(AND($C21="Goal",AQ$7&gt;=$F21,AQ$7&lt;=$F21+$G21-1),2,IF(AND($C21="Milestone",AQ$7&gt;=$F21,AQ$7&lt;=$F21+$G21-1),1,""))</f>
        <v/>
      </c>
      <c r="AR21" s="126" t="str">
        <f ca="1">IF(AND($C21="Goal",AR$7&gt;=$F21,AR$7&lt;=$F21+$G21-1),2,IF(AND($C21="Milestone",AR$7&gt;=$F21,AR$7&lt;=$F21+$G21-1),1,""))</f>
        <v/>
      </c>
      <c r="AS21" s="126" t="str">
        <f ca="1">IF(AND($C21="Goal",AS$7&gt;=$F21,AS$7&lt;=$F21+$G21-1),2,IF(AND($C21="Milestone",AS$7&gt;=$F21,AS$7&lt;=$F21+$G21-1),1,""))</f>
        <v/>
      </c>
      <c r="AT21" s="126" t="str">
        <f ca="1">IF(AND($C21="Goal",AT$7&gt;=$F21,AT$7&lt;=$F21+$G21-1),2,IF(AND($C21="Milestone",AT$7&gt;=$F21,AT$7&lt;=$F21+$G21-1),1,""))</f>
        <v/>
      </c>
      <c r="AU21" s="126" t="str">
        <f ca="1">IF(AND($C21="Goal",AU$7&gt;=$F21,AU$7&lt;=$F21+$G21-1),2,IF(AND($C21="Milestone",AU$7&gt;=$F21,AU$7&lt;=$F21+$G21-1),1,""))</f>
        <v/>
      </c>
      <c r="AV21" s="126" t="str">
        <f ca="1">IF(AND($C21="Goal",AV$7&gt;=$F21,AV$7&lt;=$F21+$G21-1),2,IF(AND($C21="Milestone",AV$7&gt;=$F21,AV$7&lt;=$F21+$G21-1),1,""))</f>
        <v/>
      </c>
      <c r="AW21" s="126" t="str">
        <f ca="1">IF(AND($C21="Goal",AW$7&gt;=$F21,AW$7&lt;=$F21+$G21-1),2,IF(AND($C21="Milestone",AW$7&gt;=$F21,AW$7&lt;=$F21+$G21-1),1,""))</f>
        <v/>
      </c>
      <c r="AX21" s="126" t="str">
        <f ca="1">IF(AND($C21="Goal",AX$7&gt;=$F21,AX$7&lt;=$F21+$G21-1),2,IF(AND($C21="Milestone",AX$7&gt;=$F21,AX$7&lt;=$F21+$G21-1),1,""))</f>
        <v/>
      </c>
      <c r="AY21" s="126" t="str">
        <f ca="1">IF(AND($C21="Goal",AY$7&gt;=$F21,AY$7&lt;=$F21+$G21-1),2,IF(AND($C21="Milestone",AY$7&gt;=$F21,AY$7&lt;=$F21+$G21-1),1,""))</f>
        <v/>
      </c>
      <c r="AZ21" s="126" t="str">
        <f ca="1">IF(AND($C21="Goal",AZ$7&gt;=$F21,AZ$7&lt;=$F21+$G21-1),2,IF(AND($C21="Milestone",AZ$7&gt;=$F21,AZ$7&lt;=$F21+$G21-1),1,""))</f>
        <v/>
      </c>
      <c r="BA21" s="126" t="str">
        <f ca="1">IF(AND($C21="Goal",BA$7&gt;=$F21,BA$7&lt;=$F21+$G21-1),2,IF(AND($C21="Milestone",BA$7&gt;=$F21,BA$7&lt;=$F21+$G21-1),1,""))</f>
        <v/>
      </c>
      <c r="BB21" s="126" t="str">
        <f ca="1">IF(AND($C21="Goal",BB$7&gt;=$F21,BB$7&lt;=$F21+$G21-1),2,IF(AND($C21="Milestone",BB$7&gt;=$F21,BB$7&lt;=$F21+$G21-1),1,""))</f>
        <v/>
      </c>
      <c r="BC21" s="126" t="str">
        <f ca="1">IF(AND($C21="Goal",BC$7&gt;=$F21,BC$7&lt;=$F21+$G21-1),2,IF(AND($C21="Milestone",BC$7&gt;=$F21,BC$7&lt;=$F21+$G21-1),1,""))</f>
        <v/>
      </c>
      <c r="BD21" s="126" t="str">
        <f ca="1">IF(AND($C21="Goal",BD$7&gt;=$F21,BD$7&lt;=$F21+$G21-1),2,IF(AND($C21="Milestone",BD$7&gt;=$F21,BD$7&lt;=$F21+$G21-1),1,""))</f>
        <v/>
      </c>
      <c r="BE21" s="126" t="str">
        <f ca="1">IF(AND($C21="Goal",BE$7&gt;=$F21,BE$7&lt;=$F21+$G21-1),2,IF(AND($C21="Milestone",BE$7&gt;=$F21,BE$7&lt;=$F21+$G21-1),1,""))</f>
        <v/>
      </c>
      <c r="BF21" s="126" t="str">
        <f ca="1">IF(AND($C21="Goal",BF$7&gt;=$F21,BF$7&lt;=$F21+$G21-1),2,IF(AND($C21="Milestone",BF$7&gt;=$F21,BF$7&lt;=$F21+$G21-1),1,""))</f>
        <v/>
      </c>
      <c r="BG21" s="126" t="str">
        <f ca="1">IF(AND($C21="Goal",BG$7&gt;=$F21,BG$7&lt;=$F21+$G21-1),2,IF(AND($C21="Milestone",BG$7&gt;=$F21,BG$7&lt;=$F21+$G21-1),1,""))</f>
        <v/>
      </c>
      <c r="BH21" s="126" t="str">
        <f ca="1">IF(AND($C21="Goal",BH$7&gt;=$F21,BH$7&lt;=$F21+$G21-1),2,IF(AND($C21="Milestone",BH$7&gt;=$F21,BH$7&lt;=$F21+$G21-1),1,""))</f>
        <v/>
      </c>
      <c r="BI21" s="126" t="str">
        <f ca="1">IF(AND($C21="Goal",BI$7&gt;=$F21,BI$7&lt;=$F21+$G21-1),2,IF(AND($C21="Milestone",BI$7&gt;=$F21,BI$7&lt;=$F21+$G21-1),1,""))</f>
        <v/>
      </c>
      <c r="BJ21" s="126" t="str">
        <f ca="1">IF(AND($C21="Goal",BJ$7&gt;=$F21,BJ$7&lt;=$F21+$G21-1),2,IF(AND($C21="Milestone",BJ$7&gt;=$F21,BJ$7&lt;=$F21+$G21-1),1,""))</f>
        <v/>
      </c>
      <c r="BK21" s="126" t="str">
        <f ca="1">IF(AND($C21="Goal",BK$7&gt;=$F21,BK$7&lt;=$F21+$G21-1),2,IF(AND($C21="Milestone",BK$7&gt;=$F21,BK$7&lt;=$F21+$G21-1),1,""))</f>
        <v/>
      </c>
      <c r="BL21" s="126" t="str">
        <f ca="1">IF(AND($C21="Goal",BL$7&gt;=$F21,BL$7&lt;=$F21+$G21-1),2,IF(AND($C21="Milestone",BL$7&gt;=$F21,BL$7&lt;=$F21+$G21-1),1,""))</f>
        <v/>
      </c>
      <c r="BM21" s="27"/>
    </row>
    <row r="22" spans="1:65" s="1" customFormat="1" ht="40" customHeight="1" x14ac:dyDescent="0.35">
      <c r="A22" s="9"/>
      <c r="B22" s="25" t="s">
        <v>78</v>
      </c>
      <c r="C22" s="21"/>
      <c r="D22" s="21" t="s">
        <v>89</v>
      </c>
      <c r="E22" s="22">
        <v>0</v>
      </c>
      <c r="F22" s="23">
        <f>F21 + 7</f>
        <v>46297</v>
      </c>
      <c r="G22" s="24">
        <v>7</v>
      </c>
      <c r="H22" s="19"/>
      <c r="I22" s="125" t="str">
        <f ca="1">IF(AND($C22="Goal",I$7&gt;=$F22,I$7&lt;=$F22+$G22-1),2,IF(AND($C22="Milestone",I$7&gt;=$F22,I$7&lt;=$F22+$G22-1),1,""))</f>
        <v/>
      </c>
      <c r="J22" s="126" t="str">
        <f ca="1">IF(AND($C22="Goal",J$7&gt;=$F22,J$7&lt;=$F22+$G22-1),2,IF(AND($C22="Milestone",J$7&gt;=$F22,J$7&lt;=$F22+$G22-1),1,""))</f>
        <v/>
      </c>
      <c r="K22" s="126" t="str">
        <f ca="1">IF(AND($C22="Goal",K$7&gt;=$F22,K$7&lt;=$F22+$G22-1),2,IF(AND($C22="Milestone",K$7&gt;=$F22,K$7&lt;=$F22+$G22-1),1,""))</f>
        <v/>
      </c>
      <c r="L22" s="126" t="str">
        <f ca="1">IF(AND($C22="Goal",L$7&gt;=$F22,L$7&lt;=$F22+$G22-1),2,IF(AND($C22="Milestone",L$7&gt;=$F22,L$7&lt;=$F22+$G22-1),1,""))</f>
        <v/>
      </c>
      <c r="M22" s="126" t="str">
        <f ca="1">IF(AND($C22="Goal",M$7&gt;=$F22,M$7&lt;=$F22+$G22-1),2,IF(AND($C22="Milestone",M$7&gt;=$F22,M$7&lt;=$F22+$G22-1),1,""))</f>
        <v/>
      </c>
      <c r="N22" s="126" t="str">
        <f ca="1">IF(AND($C22="Goal",N$7&gt;=$F22,N$7&lt;=$F22+$G22-1),2,IF(AND($C22="Milestone",N$7&gt;=$F22,N$7&lt;=$F22+$G22-1),1,""))</f>
        <v/>
      </c>
      <c r="O22" s="126" t="str">
        <f ca="1">IF(AND($C22="Goal",O$7&gt;=$F22,O$7&lt;=$F22+$G22-1),2,IF(AND($C22="Milestone",O$7&gt;=$F22,O$7&lt;=$F22+$G22-1),1,""))</f>
        <v/>
      </c>
      <c r="P22" s="126" t="str">
        <f ca="1">IF(AND($C22="Goal",P$7&gt;=$F22,P$7&lt;=$F22+$G22-1),2,IF(AND($C22="Milestone",P$7&gt;=$F22,P$7&lt;=$F22+$G22-1),1,""))</f>
        <v/>
      </c>
      <c r="Q22" s="126" t="str">
        <f ca="1">IF(AND($C22="Goal",Q$7&gt;=$F22,Q$7&lt;=$F22+$G22-1),2,IF(AND($C22="Milestone",Q$7&gt;=$F22,Q$7&lt;=$F22+$G22-1),1,""))</f>
        <v/>
      </c>
      <c r="R22" s="126" t="str">
        <f ca="1">IF(AND($C22="Goal",R$7&gt;=$F22,R$7&lt;=$F22+$G22-1),2,IF(AND($C22="Milestone",R$7&gt;=$F22,R$7&lt;=$F22+$G22-1),1,""))</f>
        <v/>
      </c>
      <c r="S22" s="126" t="str">
        <f ca="1">IF(AND($C22="Goal",S$7&gt;=$F22,S$7&lt;=$F22+$G22-1),2,IF(AND($C22="Milestone",S$7&gt;=$F22,S$7&lt;=$F22+$G22-1),1,""))</f>
        <v/>
      </c>
      <c r="T22" s="126" t="str">
        <f ca="1">IF(AND($C22="Goal",T$7&gt;=$F22,T$7&lt;=$F22+$G22-1),2,IF(AND($C22="Milestone",T$7&gt;=$F22,T$7&lt;=$F22+$G22-1),1,""))</f>
        <v/>
      </c>
      <c r="U22" s="126" t="str">
        <f ca="1">IF(AND($C22="Goal",U$7&gt;=$F22,U$7&lt;=$F22+$G22-1),2,IF(AND($C22="Milestone",U$7&gt;=$F22,U$7&lt;=$F22+$G22-1),1,""))</f>
        <v/>
      </c>
      <c r="V22" s="126" t="str">
        <f ca="1">IF(AND($C22="Goal",V$7&gt;=$F22,V$7&lt;=$F22+$G22-1),2,IF(AND($C22="Milestone",V$7&gt;=$F22,V$7&lt;=$F22+$G22-1),1,""))</f>
        <v/>
      </c>
      <c r="W22" s="126" t="str">
        <f ca="1">IF(AND($C22="Goal",W$7&gt;=$F22,W$7&lt;=$F22+$G22-1),2,IF(AND($C22="Milestone",W$7&gt;=$F22,W$7&lt;=$F22+$G22-1),1,""))</f>
        <v/>
      </c>
      <c r="X22" s="126" t="str">
        <f ca="1">IF(AND($C22="Goal",X$7&gt;=$F22,X$7&lt;=$F22+$G22-1),2,IF(AND($C22="Milestone",X$7&gt;=$F22,X$7&lt;=$F22+$G22-1),1,""))</f>
        <v/>
      </c>
      <c r="Y22" s="126" t="str">
        <f ca="1">IF(AND($C22="Goal",Y$7&gt;=$F22,Y$7&lt;=$F22+$G22-1),2,IF(AND($C22="Milestone",Y$7&gt;=$F22,Y$7&lt;=$F22+$G22-1),1,""))</f>
        <v/>
      </c>
      <c r="Z22" s="126" t="str">
        <f ca="1">IF(AND($C22="Goal",Z$7&gt;=$F22,Z$7&lt;=$F22+$G22-1),2,IF(AND($C22="Milestone",Z$7&gt;=$F22,Z$7&lt;=$F22+$G22-1),1,""))</f>
        <v/>
      </c>
      <c r="AA22" s="126" t="str">
        <f ca="1">IF(AND($C22="Goal",AA$7&gt;=$F22,AA$7&lt;=$F22+$G22-1),2,IF(AND($C22="Milestone",AA$7&gt;=$F22,AA$7&lt;=$F22+$G22-1),1,""))</f>
        <v/>
      </c>
      <c r="AB22" s="126" t="str">
        <f ca="1">IF(AND($C22="Goal",AB$7&gt;=$F22,AB$7&lt;=$F22+$G22-1),2,IF(AND($C22="Milestone",AB$7&gt;=$F22,AB$7&lt;=$F22+$G22-1),1,""))</f>
        <v/>
      </c>
      <c r="AC22" s="126" t="str">
        <f ca="1">IF(AND($C22="Goal",AC$7&gt;=$F22,AC$7&lt;=$F22+$G22-1),2,IF(AND($C22="Milestone",AC$7&gt;=$F22,AC$7&lt;=$F22+$G22-1),1,""))</f>
        <v/>
      </c>
      <c r="AD22" s="126" t="str">
        <f ca="1">IF(AND($C22="Goal",AD$7&gt;=$F22,AD$7&lt;=$F22+$G22-1),2,IF(AND($C22="Milestone",AD$7&gt;=$F22,AD$7&lt;=$F22+$G22-1),1,""))</f>
        <v/>
      </c>
      <c r="AE22" s="126" t="str">
        <f ca="1">IF(AND($C22="Goal",AE$7&gt;=$F22,AE$7&lt;=$F22+$G22-1),2,IF(AND($C22="Milestone",AE$7&gt;=$F22,AE$7&lt;=$F22+$G22-1),1,""))</f>
        <v/>
      </c>
      <c r="AF22" s="126" t="str">
        <f ca="1">IF(AND($C22="Goal",AF$7&gt;=$F22,AF$7&lt;=$F22+$G22-1),2,IF(AND($C22="Milestone",AF$7&gt;=$F22,AF$7&lt;=$F22+$G22-1),1,""))</f>
        <v/>
      </c>
      <c r="AG22" s="126" t="str">
        <f ca="1">IF(AND($C22="Goal",AG$7&gt;=$F22,AG$7&lt;=$F22+$G22-1),2,IF(AND($C22="Milestone",AG$7&gt;=$F22,AG$7&lt;=$F22+$G22-1),1,""))</f>
        <v/>
      </c>
      <c r="AH22" s="126" t="str">
        <f ca="1">IF(AND($C22="Goal",AH$7&gt;=$F22,AH$7&lt;=$F22+$G22-1),2,IF(AND($C22="Milestone",AH$7&gt;=$F22,AH$7&lt;=$F22+$G22-1),1,""))</f>
        <v/>
      </c>
      <c r="AI22" s="126" t="str">
        <f ca="1">IF(AND($C22="Goal",AI$7&gt;=$F22,AI$7&lt;=$F22+$G22-1),2,IF(AND($C22="Milestone",AI$7&gt;=$F22,AI$7&lt;=$F22+$G22-1),1,""))</f>
        <v/>
      </c>
      <c r="AJ22" s="126" t="str">
        <f ca="1">IF(AND($C22="Goal",AJ$7&gt;=$F22,AJ$7&lt;=$F22+$G22-1),2,IF(AND($C22="Milestone",AJ$7&gt;=$F22,AJ$7&lt;=$F22+$G22-1),1,""))</f>
        <v/>
      </c>
      <c r="AK22" s="126" t="str">
        <f ca="1">IF(AND($C22="Goal",AK$7&gt;=$F22,AK$7&lt;=$F22+$G22-1),2,IF(AND($C22="Milestone",AK$7&gt;=$F22,AK$7&lt;=$F22+$G22-1),1,""))</f>
        <v/>
      </c>
      <c r="AL22" s="126" t="str">
        <f ca="1">IF(AND($C22="Goal",AL$7&gt;=$F22,AL$7&lt;=$F22+$G22-1),2,IF(AND($C22="Milestone",AL$7&gt;=$F22,AL$7&lt;=$F22+$G22-1),1,""))</f>
        <v/>
      </c>
      <c r="AM22" s="126" t="str">
        <f ca="1">IF(AND($C22="Goal",AM$7&gt;=$F22,AM$7&lt;=$F22+$G22-1),2,IF(AND($C22="Milestone",AM$7&gt;=$F22,AM$7&lt;=$F22+$G22-1),1,""))</f>
        <v/>
      </c>
      <c r="AN22" s="126" t="str">
        <f ca="1">IF(AND($C22="Goal",AN$7&gt;=$F22,AN$7&lt;=$F22+$G22-1),2,IF(AND($C22="Milestone",AN$7&gt;=$F22,AN$7&lt;=$F22+$G22-1),1,""))</f>
        <v/>
      </c>
      <c r="AO22" s="126" t="str">
        <f ca="1">IF(AND($C22="Goal",AO$7&gt;=$F22,AO$7&lt;=$F22+$G22-1),2,IF(AND($C22="Milestone",AO$7&gt;=$F22,AO$7&lt;=$F22+$G22-1),1,""))</f>
        <v/>
      </c>
      <c r="AP22" s="126" t="str">
        <f ca="1">IF(AND($C22="Goal",AP$7&gt;=$F22,AP$7&lt;=$F22+$G22-1),2,IF(AND($C22="Milestone",AP$7&gt;=$F22,AP$7&lt;=$F22+$G22-1),1,""))</f>
        <v/>
      </c>
      <c r="AQ22" s="126" t="str">
        <f ca="1">IF(AND($C22="Goal",AQ$7&gt;=$F22,AQ$7&lt;=$F22+$G22-1),2,IF(AND($C22="Milestone",AQ$7&gt;=$F22,AQ$7&lt;=$F22+$G22-1),1,""))</f>
        <v/>
      </c>
      <c r="AR22" s="126" t="str">
        <f ca="1">IF(AND($C22="Goal",AR$7&gt;=$F22,AR$7&lt;=$F22+$G22-1),2,IF(AND($C22="Milestone",AR$7&gt;=$F22,AR$7&lt;=$F22+$G22-1),1,""))</f>
        <v/>
      </c>
      <c r="AS22" s="126" t="str">
        <f ca="1">IF(AND($C22="Goal",AS$7&gt;=$F22,AS$7&lt;=$F22+$G22-1),2,IF(AND($C22="Milestone",AS$7&gt;=$F22,AS$7&lt;=$F22+$G22-1),1,""))</f>
        <v/>
      </c>
      <c r="AT22" s="126" t="str">
        <f ca="1">IF(AND($C22="Goal",AT$7&gt;=$F22,AT$7&lt;=$F22+$G22-1),2,IF(AND($C22="Milestone",AT$7&gt;=$F22,AT$7&lt;=$F22+$G22-1),1,""))</f>
        <v/>
      </c>
      <c r="AU22" s="126" t="str">
        <f ca="1">IF(AND($C22="Goal",AU$7&gt;=$F22,AU$7&lt;=$F22+$G22-1),2,IF(AND($C22="Milestone",AU$7&gt;=$F22,AU$7&lt;=$F22+$G22-1),1,""))</f>
        <v/>
      </c>
      <c r="AV22" s="126" t="str">
        <f ca="1">IF(AND($C22="Goal",AV$7&gt;=$F22,AV$7&lt;=$F22+$G22-1),2,IF(AND($C22="Milestone",AV$7&gt;=$F22,AV$7&lt;=$F22+$G22-1),1,""))</f>
        <v/>
      </c>
      <c r="AW22" s="126" t="str">
        <f ca="1">IF(AND($C22="Goal",AW$7&gt;=$F22,AW$7&lt;=$F22+$G22-1),2,IF(AND($C22="Milestone",AW$7&gt;=$F22,AW$7&lt;=$F22+$G22-1),1,""))</f>
        <v/>
      </c>
      <c r="AX22" s="126" t="str">
        <f ca="1">IF(AND($C22="Goal",AX$7&gt;=$F22,AX$7&lt;=$F22+$G22-1),2,IF(AND($C22="Milestone",AX$7&gt;=$F22,AX$7&lt;=$F22+$G22-1),1,""))</f>
        <v/>
      </c>
      <c r="AY22" s="126" t="str">
        <f ca="1">IF(AND($C22="Goal",AY$7&gt;=$F22,AY$7&lt;=$F22+$G22-1),2,IF(AND($C22="Milestone",AY$7&gt;=$F22,AY$7&lt;=$F22+$G22-1),1,""))</f>
        <v/>
      </c>
      <c r="AZ22" s="126" t="str">
        <f ca="1">IF(AND($C22="Goal",AZ$7&gt;=$F22,AZ$7&lt;=$F22+$G22-1),2,IF(AND($C22="Milestone",AZ$7&gt;=$F22,AZ$7&lt;=$F22+$G22-1),1,""))</f>
        <v/>
      </c>
      <c r="BA22" s="126" t="str">
        <f ca="1">IF(AND($C22="Goal",BA$7&gt;=$F22,BA$7&lt;=$F22+$G22-1),2,IF(AND($C22="Milestone",BA$7&gt;=$F22,BA$7&lt;=$F22+$G22-1),1,""))</f>
        <v/>
      </c>
      <c r="BB22" s="126" t="str">
        <f ca="1">IF(AND($C22="Goal",BB$7&gt;=$F22,BB$7&lt;=$F22+$G22-1),2,IF(AND($C22="Milestone",BB$7&gt;=$F22,BB$7&lt;=$F22+$G22-1),1,""))</f>
        <v/>
      </c>
      <c r="BC22" s="126" t="str">
        <f ca="1">IF(AND($C22="Goal",BC$7&gt;=$F22,BC$7&lt;=$F22+$G22-1),2,IF(AND($C22="Milestone",BC$7&gt;=$F22,BC$7&lt;=$F22+$G22-1),1,""))</f>
        <v/>
      </c>
      <c r="BD22" s="126" t="str">
        <f ca="1">IF(AND($C22="Goal",BD$7&gt;=$F22,BD$7&lt;=$F22+$G22-1),2,IF(AND($C22="Milestone",BD$7&gt;=$F22,BD$7&lt;=$F22+$G22-1),1,""))</f>
        <v/>
      </c>
      <c r="BE22" s="126" t="str">
        <f ca="1">IF(AND($C22="Goal",BE$7&gt;=$F22,BE$7&lt;=$F22+$G22-1),2,IF(AND($C22="Milestone",BE$7&gt;=$F22,BE$7&lt;=$F22+$G22-1),1,""))</f>
        <v/>
      </c>
      <c r="BF22" s="126" t="str">
        <f ca="1">IF(AND($C22="Goal",BF$7&gt;=$F22,BF$7&lt;=$F22+$G22-1),2,IF(AND($C22="Milestone",BF$7&gt;=$F22,BF$7&lt;=$F22+$G22-1),1,""))</f>
        <v/>
      </c>
      <c r="BG22" s="126" t="str">
        <f ca="1">IF(AND($C22="Goal",BG$7&gt;=$F22,BG$7&lt;=$F22+$G22-1),2,IF(AND($C22="Milestone",BG$7&gt;=$F22,BG$7&lt;=$F22+$G22-1),1,""))</f>
        <v/>
      </c>
      <c r="BH22" s="126" t="str">
        <f ca="1">IF(AND($C22="Goal",BH$7&gt;=$F22,BH$7&lt;=$F22+$G22-1),2,IF(AND($C22="Milestone",BH$7&gt;=$F22,BH$7&lt;=$F22+$G22-1),1,""))</f>
        <v/>
      </c>
      <c r="BI22" s="126" t="str">
        <f ca="1">IF(AND($C22="Goal",BI$7&gt;=$F22,BI$7&lt;=$F22+$G22-1),2,IF(AND($C22="Milestone",BI$7&gt;=$F22,BI$7&lt;=$F22+$G22-1),1,""))</f>
        <v/>
      </c>
      <c r="BJ22" s="126" t="str">
        <f ca="1">IF(AND($C22="Goal",BJ$7&gt;=$F22,BJ$7&lt;=$F22+$G22-1),2,IF(AND($C22="Milestone",BJ$7&gt;=$F22,BJ$7&lt;=$F22+$G22-1),1,""))</f>
        <v/>
      </c>
      <c r="BK22" s="126" t="str">
        <f ca="1">IF(AND($C22="Goal",BK$7&gt;=$F22,BK$7&lt;=$F22+$G22-1),2,IF(AND($C22="Milestone",BK$7&gt;=$F22,BK$7&lt;=$F22+$G22-1),1,""))</f>
        <v/>
      </c>
      <c r="BL22" s="126" t="str">
        <f ca="1">IF(AND($C22="Goal",BL$7&gt;=$F22,BL$7&lt;=$F22+$G22-1),2,IF(AND($C22="Milestone",BL$7&gt;=$F22,BL$7&lt;=$F22+$G22-1),1,""))</f>
        <v/>
      </c>
      <c r="BM22" s="27"/>
    </row>
    <row r="23" spans="1:65" s="1" customFormat="1" ht="40" customHeight="1" x14ac:dyDescent="0.35">
      <c r="A23" s="9"/>
      <c r="B23" s="25" t="s">
        <v>79</v>
      </c>
      <c r="C23" s="21"/>
      <c r="D23" s="21" t="s">
        <v>90</v>
      </c>
      <c r="E23" s="22">
        <v>0</v>
      </c>
      <c r="F23" s="23">
        <f t="shared" ref="F22:F25" si="10">F22</f>
        <v>46297</v>
      </c>
      <c r="G23" s="24">
        <v>7</v>
      </c>
      <c r="H23" s="19"/>
      <c r="I23" s="125" t="str">
        <f ca="1">IF(AND($C23="Goal",I$7&gt;=$F23,I$7&lt;=$F23+$G23-1),2,IF(AND($C23="Milestone",I$7&gt;=$F23,I$7&lt;=$F23+$G23-1),1,""))</f>
        <v/>
      </c>
      <c r="J23" s="126" t="str">
        <f ca="1">IF(AND($C23="Goal",J$7&gt;=$F23,J$7&lt;=$F23+$G23-1),2,IF(AND($C23="Milestone",J$7&gt;=$F23,J$7&lt;=$F23+$G23-1),1,""))</f>
        <v/>
      </c>
      <c r="K23" s="126" t="str">
        <f ca="1">IF(AND($C23="Goal",K$7&gt;=$F23,K$7&lt;=$F23+$G23-1),2,IF(AND($C23="Milestone",K$7&gt;=$F23,K$7&lt;=$F23+$G23-1),1,""))</f>
        <v/>
      </c>
      <c r="L23" s="126" t="str">
        <f ca="1">IF(AND($C23="Goal",L$7&gt;=$F23,L$7&lt;=$F23+$G23-1),2,IF(AND($C23="Milestone",L$7&gt;=$F23,L$7&lt;=$F23+$G23-1),1,""))</f>
        <v/>
      </c>
      <c r="M23" s="126" t="str">
        <f ca="1">IF(AND($C23="Goal",M$7&gt;=$F23,M$7&lt;=$F23+$G23-1),2,IF(AND($C23="Milestone",M$7&gt;=$F23,M$7&lt;=$F23+$G23-1),1,""))</f>
        <v/>
      </c>
      <c r="N23" s="126" t="str">
        <f ca="1">IF(AND($C23="Goal",N$7&gt;=$F23,N$7&lt;=$F23+$G23-1),2,IF(AND($C23="Milestone",N$7&gt;=$F23,N$7&lt;=$F23+$G23-1),1,""))</f>
        <v/>
      </c>
      <c r="O23" s="126" t="str">
        <f ca="1">IF(AND($C23="Goal",O$7&gt;=$F23,O$7&lt;=$F23+$G23-1),2,IF(AND($C23="Milestone",O$7&gt;=$F23,O$7&lt;=$F23+$G23-1),1,""))</f>
        <v/>
      </c>
      <c r="P23" s="126" t="str">
        <f ca="1">IF(AND($C23="Goal",P$7&gt;=$F23,P$7&lt;=$F23+$G23-1),2,IF(AND($C23="Milestone",P$7&gt;=$F23,P$7&lt;=$F23+$G23-1),1,""))</f>
        <v/>
      </c>
      <c r="Q23" s="126" t="str">
        <f ca="1">IF(AND($C23="Goal",Q$7&gt;=$F23,Q$7&lt;=$F23+$G23-1),2,IF(AND($C23="Milestone",Q$7&gt;=$F23,Q$7&lt;=$F23+$G23-1),1,""))</f>
        <v/>
      </c>
      <c r="R23" s="126" t="str">
        <f ca="1">IF(AND($C23="Goal",R$7&gt;=$F23,R$7&lt;=$F23+$G23-1),2,IF(AND($C23="Milestone",R$7&gt;=$F23,R$7&lt;=$F23+$G23-1),1,""))</f>
        <v/>
      </c>
      <c r="S23" s="126" t="str">
        <f ca="1">IF(AND($C23="Goal",S$7&gt;=$F23,S$7&lt;=$F23+$G23-1),2,IF(AND($C23="Milestone",S$7&gt;=$F23,S$7&lt;=$F23+$G23-1),1,""))</f>
        <v/>
      </c>
      <c r="T23" s="126" t="str">
        <f ca="1">IF(AND($C23="Goal",T$7&gt;=$F23,T$7&lt;=$F23+$G23-1),2,IF(AND($C23="Milestone",T$7&gt;=$F23,T$7&lt;=$F23+$G23-1),1,""))</f>
        <v/>
      </c>
      <c r="U23" s="126" t="str">
        <f ca="1">IF(AND($C23="Goal",U$7&gt;=$F23,U$7&lt;=$F23+$G23-1),2,IF(AND($C23="Milestone",U$7&gt;=$F23,U$7&lt;=$F23+$G23-1),1,""))</f>
        <v/>
      </c>
      <c r="V23" s="126" t="str">
        <f ca="1">IF(AND($C23="Goal",V$7&gt;=$F23,V$7&lt;=$F23+$G23-1),2,IF(AND($C23="Milestone",V$7&gt;=$F23,V$7&lt;=$F23+$G23-1),1,""))</f>
        <v/>
      </c>
      <c r="W23" s="126" t="str">
        <f ca="1">IF(AND($C23="Goal",W$7&gt;=$F23,W$7&lt;=$F23+$G23-1),2,IF(AND($C23="Milestone",W$7&gt;=$F23,W$7&lt;=$F23+$G23-1),1,""))</f>
        <v/>
      </c>
      <c r="X23" s="126" t="str">
        <f ca="1">IF(AND($C23="Goal",X$7&gt;=$F23,X$7&lt;=$F23+$G23-1),2,IF(AND($C23="Milestone",X$7&gt;=$F23,X$7&lt;=$F23+$G23-1),1,""))</f>
        <v/>
      </c>
      <c r="Y23" s="126" t="str">
        <f ca="1">IF(AND($C23="Goal",Y$7&gt;=$F23,Y$7&lt;=$F23+$G23-1),2,IF(AND($C23="Milestone",Y$7&gt;=$F23,Y$7&lt;=$F23+$G23-1),1,""))</f>
        <v/>
      </c>
      <c r="Z23" s="126" t="str">
        <f ca="1">IF(AND($C23="Goal",Z$7&gt;=$F23,Z$7&lt;=$F23+$G23-1),2,IF(AND($C23="Milestone",Z$7&gt;=$F23,Z$7&lt;=$F23+$G23-1),1,""))</f>
        <v/>
      </c>
      <c r="AA23" s="126" t="str">
        <f ca="1">IF(AND($C23="Goal",AA$7&gt;=$F23,AA$7&lt;=$F23+$G23-1),2,IF(AND($C23="Milestone",AA$7&gt;=$F23,AA$7&lt;=$F23+$G23-1),1,""))</f>
        <v/>
      </c>
      <c r="AB23" s="126" t="str">
        <f ca="1">IF(AND($C23="Goal",AB$7&gt;=$F23,AB$7&lt;=$F23+$G23-1),2,IF(AND($C23="Milestone",AB$7&gt;=$F23,AB$7&lt;=$F23+$G23-1),1,""))</f>
        <v/>
      </c>
      <c r="AC23" s="126" t="str">
        <f ca="1">IF(AND($C23="Goal",AC$7&gt;=$F23,AC$7&lt;=$F23+$G23-1),2,IF(AND($C23="Milestone",AC$7&gt;=$F23,AC$7&lt;=$F23+$G23-1),1,""))</f>
        <v/>
      </c>
      <c r="AD23" s="126" t="str">
        <f ca="1">IF(AND($C23="Goal",AD$7&gt;=$F23,AD$7&lt;=$F23+$G23-1),2,IF(AND($C23="Milestone",AD$7&gt;=$F23,AD$7&lt;=$F23+$G23-1),1,""))</f>
        <v/>
      </c>
      <c r="AE23" s="126" t="str">
        <f ca="1">IF(AND($C23="Goal",AE$7&gt;=$F23,AE$7&lt;=$F23+$G23-1),2,IF(AND($C23="Milestone",AE$7&gt;=$F23,AE$7&lt;=$F23+$G23-1),1,""))</f>
        <v/>
      </c>
      <c r="AF23" s="126" t="str">
        <f ca="1">IF(AND($C23="Goal",AF$7&gt;=$F23,AF$7&lt;=$F23+$G23-1),2,IF(AND($C23="Milestone",AF$7&gt;=$F23,AF$7&lt;=$F23+$G23-1),1,""))</f>
        <v/>
      </c>
      <c r="AG23" s="126" t="str">
        <f ca="1">IF(AND($C23="Goal",AG$7&gt;=$F23,AG$7&lt;=$F23+$G23-1),2,IF(AND($C23="Milestone",AG$7&gt;=$F23,AG$7&lt;=$F23+$G23-1),1,""))</f>
        <v/>
      </c>
      <c r="AH23" s="126" t="str">
        <f ca="1">IF(AND($C23="Goal",AH$7&gt;=$F23,AH$7&lt;=$F23+$G23-1),2,IF(AND($C23="Milestone",AH$7&gt;=$F23,AH$7&lt;=$F23+$G23-1),1,""))</f>
        <v/>
      </c>
      <c r="AI23" s="126" t="str">
        <f ca="1">IF(AND($C23="Goal",AI$7&gt;=$F23,AI$7&lt;=$F23+$G23-1),2,IF(AND($C23="Milestone",AI$7&gt;=$F23,AI$7&lt;=$F23+$G23-1),1,""))</f>
        <v/>
      </c>
      <c r="AJ23" s="126" t="str">
        <f ca="1">IF(AND($C23="Goal",AJ$7&gt;=$F23,AJ$7&lt;=$F23+$G23-1),2,IF(AND($C23="Milestone",AJ$7&gt;=$F23,AJ$7&lt;=$F23+$G23-1),1,""))</f>
        <v/>
      </c>
      <c r="AK23" s="126" t="str">
        <f ca="1">IF(AND($C23="Goal",AK$7&gt;=$F23,AK$7&lt;=$F23+$G23-1),2,IF(AND($C23="Milestone",AK$7&gt;=$F23,AK$7&lt;=$F23+$G23-1),1,""))</f>
        <v/>
      </c>
      <c r="AL23" s="126" t="str">
        <f ca="1">IF(AND($C23="Goal",AL$7&gt;=$F23,AL$7&lt;=$F23+$G23-1),2,IF(AND($C23="Milestone",AL$7&gt;=$F23,AL$7&lt;=$F23+$G23-1),1,""))</f>
        <v/>
      </c>
      <c r="AM23" s="126" t="str">
        <f ca="1">IF(AND($C23="Goal",AM$7&gt;=$F23,AM$7&lt;=$F23+$G23-1),2,IF(AND($C23="Milestone",AM$7&gt;=$F23,AM$7&lt;=$F23+$G23-1),1,""))</f>
        <v/>
      </c>
      <c r="AN23" s="126" t="str">
        <f ca="1">IF(AND($C23="Goal",AN$7&gt;=$F23,AN$7&lt;=$F23+$G23-1),2,IF(AND($C23="Milestone",AN$7&gt;=$F23,AN$7&lt;=$F23+$G23-1),1,""))</f>
        <v/>
      </c>
      <c r="AO23" s="126" t="str">
        <f ca="1">IF(AND($C23="Goal",AO$7&gt;=$F23,AO$7&lt;=$F23+$G23-1),2,IF(AND($C23="Milestone",AO$7&gt;=$F23,AO$7&lt;=$F23+$G23-1),1,""))</f>
        <v/>
      </c>
      <c r="AP23" s="126" t="str">
        <f ca="1">IF(AND($C23="Goal",AP$7&gt;=$F23,AP$7&lt;=$F23+$G23-1),2,IF(AND($C23="Milestone",AP$7&gt;=$F23,AP$7&lt;=$F23+$G23-1),1,""))</f>
        <v/>
      </c>
      <c r="AQ23" s="126" t="str">
        <f ca="1">IF(AND($C23="Goal",AQ$7&gt;=$F23,AQ$7&lt;=$F23+$G23-1),2,IF(AND($C23="Milestone",AQ$7&gt;=$F23,AQ$7&lt;=$F23+$G23-1),1,""))</f>
        <v/>
      </c>
      <c r="AR23" s="126" t="str">
        <f ca="1">IF(AND($C23="Goal",AR$7&gt;=$F23,AR$7&lt;=$F23+$G23-1),2,IF(AND($C23="Milestone",AR$7&gt;=$F23,AR$7&lt;=$F23+$G23-1),1,""))</f>
        <v/>
      </c>
      <c r="AS23" s="126" t="str">
        <f ca="1">IF(AND($C23="Goal",AS$7&gt;=$F23,AS$7&lt;=$F23+$G23-1),2,IF(AND($C23="Milestone",AS$7&gt;=$F23,AS$7&lt;=$F23+$G23-1),1,""))</f>
        <v/>
      </c>
      <c r="AT23" s="126" t="str">
        <f ca="1">IF(AND($C23="Goal",AT$7&gt;=$F23,AT$7&lt;=$F23+$G23-1),2,IF(AND($C23="Milestone",AT$7&gt;=$F23,AT$7&lt;=$F23+$G23-1),1,""))</f>
        <v/>
      </c>
      <c r="AU23" s="126" t="str">
        <f ca="1">IF(AND($C23="Goal",AU$7&gt;=$F23,AU$7&lt;=$F23+$G23-1),2,IF(AND($C23="Milestone",AU$7&gt;=$F23,AU$7&lt;=$F23+$G23-1),1,""))</f>
        <v/>
      </c>
      <c r="AV23" s="126" t="str">
        <f ca="1">IF(AND($C23="Goal",AV$7&gt;=$F23,AV$7&lt;=$F23+$G23-1),2,IF(AND($C23="Milestone",AV$7&gt;=$F23,AV$7&lt;=$F23+$G23-1),1,""))</f>
        <v/>
      </c>
      <c r="AW23" s="126" t="str">
        <f ca="1">IF(AND($C23="Goal",AW$7&gt;=$F23,AW$7&lt;=$F23+$G23-1),2,IF(AND($C23="Milestone",AW$7&gt;=$F23,AW$7&lt;=$F23+$G23-1),1,""))</f>
        <v/>
      </c>
      <c r="AX23" s="126" t="str">
        <f ca="1">IF(AND($C23="Goal",AX$7&gt;=$F23,AX$7&lt;=$F23+$G23-1),2,IF(AND($C23="Milestone",AX$7&gt;=$F23,AX$7&lt;=$F23+$G23-1),1,""))</f>
        <v/>
      </c>
      <c r="AY23" s="126" t="str">
        <f ca="1">IF(AND($C23="Goal",AY$7&gt;=$F23,AY$7&lt;=$F23+$G23-1),2,IF(AND($C23="Milestone",AY$7&gt;=$F23,AY$7&lt;=$F23+$G23-1),1,""))</f>
        <v/>
      </c>
      <c r="AZ23" s="126" t="str">
        <f ca="1">IF(AND($C23="Goal",AZ$7&gt;=$F23,AZ$7&lt;=$F23+$G23-1),2,IF(AND($C23="Milestone",AZ$7&gt;=$F23,AZ$7&lt;=$F23+$G23-1),1,""))</f>
        <v/>
      </c>
      <c r="BA23" s="126" t="str">
        <f ca="1">IF(AND($C23="Goal",BA$7&gt;=$F23,BA$7&lt;=$F23+$G23-1),2,IF(AND($C23="Milestone",BA$7&gt;=$F23,BA$7&lt;=$F23+$G23-1),1,""))</f>
        <v/>
      </c>
      <c r="BB23" s="126" t="str">
        <f ca="1">IF(AND($C23="Goal",BB$7&gt;=$F23,BB$7&lt;=$F23+$G23-1),2,IF(AND($C23="Milestone",BB$7&gt;=$F23,BB$7&lt;=$F23+$G23-1),1,""))</f>
        <v/>
      </c>
      <c r="BC23" s="126" t="str">
        <f ca="1">IF(AND($C23="Goal",BC$7&gt;=$F23,BC$7&lt;=$F23+$G23-1),2,IF(AND($C23="Milestone",BC$7&gt;=$F23,BC$7&lt;=$F23+$G23-1),1,""))</f>
        <v/>
      </c>
      <c r="BD23" s="126" t="str">
        <f ca="1">IF(AND($C23="Goal",BD$7&gt;=$F23,BD$7&lt;=$F23+$G23-1),2,IF(AND($C23="Milestone",BD$7&gt;=$F23,BD$7&lt;=$F23+$G23-1),1,""))</f>
        <v/>
      </c>
      <c r="BE23" s="126" t="str">
        <f ca="1">IF(AND($C23="Goal",BE$7&gt;=$F23,BE$7&lt;=$F23+$G23-1),2,IF(AND($C23="Milestone",BE$7&gt;=$F23,BE$7&lt;=$F23+$G23-1),1,""))</f>
        <v/>
      </c>
      <c r="BF23" s="126" t="str">
        <f ca="1">IF(AND($C23="Goal",BF$7&gt;=$F23,BF$7&lt;=$F23+$G23-1),2,IF(AND($C23="Milestone",BF$7&gt;=$F23,BF$7&lt;=$F23+$G23-1),1,""))</f>
        <v/>
      </c>
      <c r="BG23" s="126" t="str">
        <f ca="1">IF(AND($C23="Goal",BG$7&gt;=$F23,BG$7&lt;=$F23+$G23-1),2,IF(AND($C23="Milestone",BG$7&gt;=$F23,BG$7&lt;=$F23+$G23-1),1,""))</f>
        <v/>
      </c>
      <c r="BH23" s="126" t="str">
        <f ca="1">IF(AND($C23="Goal",BH$7&gt;=$F23,BH$7&lt;=$F23+$G23-1),2,IF(AND($C23="Milestone",BH$7&gt;=$F23,BH$7&lt;=$F23+$G23-1),1,""))</f>
        <v/>
      </c>
      <c r="BI23" s="126" t="str">
        <f ca="1">IF(AND($C23="Goal",BI$7&gt;=$F23,BI$7&lt;=$F23+$G23-1),2,IF(AND($C23="Milestone",BI$7&gt;=$F23,BI$7&lt;=$F23+$G23-1),1,""))</f>
        <v/>
      </c>
      <c r="BJ23" s="126" t="str">
        <f ca="1">IF(AND($C23="Goal",BJ$7&gt;=$F23,BJ$7&lt;=$F23+$G23-1),2,IF(AND($C23="Milestone",BJ$7&gt;=$F23,BJ$7&lt;=$F23+$G23-1),1,""))</f>
        <v/>
      </c>
      <c r="BK23" s="126" t="str">
        <f ca="1">IF(AND($C23="Goal",BK$7&gt;=$F23,BK$7&lt;=$F23+$G23-1),2,IF(AND($C23="Milestone",BK$7&gt;=$F23,BK$7&lt;=$F23+$G23-1),1,""))</f>
        <v/>
      </c>
      <c r="BL23" s="126" t="str">
        <f ca="1">IF(AND($C23="Goal",BL$7&gt;=$F23,BL$7&lt;=$F23+$G23-1),2,IF(AND($C23="Milestone",BL$7&gt;=$F23,BL$7&lt;=$F23+$G23-1),1,""))</f>
        <v/>
      </c>
      <c r="BM23" s="27"/>
    </row>
    <row r="24" spans="1:65" s="1" customFormat="1" ht="40" customHeight="1" x14ac:dyDescent="0.35">
      <c r="A24" s="9"/>
      <c r="B24" s="25" t="s">
        <v>80</v>
      </c>
      <c r="C24" s="21"/>
      <c r="D24" s="21" t="s">
        <v>91</v>
      </c>
      <c r="E24" s="22">
        <v>0</v>
      </c>
      <c r="F24" s="23">
        <f t="shared" si="10"/>
        <v>46297</v>
      </c>
      <c r="G24" s="24">
        <v>7</v>
      </c>
      <c r="H24" s="19"/>
      <c r="I24" s="125" t="str">
        <f ca="1">IF(AND($C24="Goal",I$7&gt;=$F24,I$7&lt;=$F24+$G24-1),2,IF(AND($C24="Milestone",I$7&gt;=$F24,I$7&lt;=$F24+$G24-1),1,""))</f>
        <v/>
      </c>
      <c r="J24" s="126" t="str">
        <f ca="1">IF(AND($C24="Goal",J$7&gt;=$F24,J$7&lt;=$F24+$G24-1),2,IF(AND($C24="Milestone",J$7&gt;=$F24,J$7&lt;=$F24+$G24-1),1,""))</f>
        <v/>
      </c>
      <c r="K24" s="126" t="str">
        <f ca="1">IF(AND($C24="Goal",K$7&gt;=$F24,K$7&lt;=$F24+$G24-1),2,IF(AND($C24="Milestone",K$7&gt;=$F24,K$7&lt;=$F24+$G24-1),1,""))</f>
        <v/>
      </c>
      <c r="L24" s="126" t="str">
        <f ca="1">IF(AND($C24="Goal",L$7&gt;=$F24,L$7&lt;=$F24+$G24-1),2,IF(AND($C24="Milestone",L$7&gt;=$F24,L$7&lt;=$F24+$G24-1),1,""))</f>
        <v/>
      </c>
      <c r="M24" s="126" t="str">
        <f ca="1">IF(AND($C24="Goal",M$7&gt;=$F24,M$7&lt;=$F24+$G24-1),2,IF(AND($C24="Milestone",M$7&gt;=$F24,M$7&lt;=$F24+$G24-1),1,""))</f>
        <v/>
      </c>
      <c r="N24" s="126" t="str">
        <f ca="1">IF(AND($C24="Goal",N$7&gt;=$F24,N$7&lt;=$F24+$G24-1),2,IF(AND($C24="Milestone",N$7&gt;=$F24,N$7&lt;=$F24+$G24-1),1,""))</f>
        <v/>
      </c>
      <c r="O24" s="126" t="str">
        <f ca="1">IF(AND($C24="Goal",O$7&gt;=$F24,O$7&lt;=$F24+$G24-1),2,IF(AND($C24="Milestone",O$7&gt;=$F24,O$7&lt;=$F24+$G24-1),1,""))</f>
        <v/>
      </c>
      <c r="P24" s="126" t="str">
        <f ca="1">IF(AND($C24="Goal",P$7&gt;=$F24,P$7&lt;=$F24+$G24-1),2,IF(AND($C24="Milestone",P$7&gt;=$F24,P$7&lt;=$F24+$G24-1),1,""))</f>
        <v/>
      </c>
      <c r="Q24" s="126" t="str">
        <f ca="1">IF(AND($C24="Goal",Q$7&gt;=$F24,Q$7&lt;=$F24+$G24-1),2,IF(AND($C24="Milestone",Q$7&gt;=$F24,Q$7&lt;=$F24+$G24-1),1,""))</f>
        <v/>
      </c>
      <c r="R24" s="126" t="str">
        <f ca="1">IF(AND($C24="Goal",R$7&gt;=$F24,R$7&lt;=$F24+$G24-1),2,IF(AND($C24="Milestone",R$7&gt;=$F24,R$7&lt;=$F24+$G24-1),1,""))</f>
        <v/>
      </c>
      <c r="S24" s="126" t="str">
        <f ca="1">IF(AND($C24="Goal",S$7&gt;=$F24,S$7&lt;=$F24+$G24-1),2,IF(AND($C24="Milestone",S$7&gt;=$F24,S$7&lt;=$F24+$G24-1),1,""))</f>
        <v/>
      </c>
      <c r="T24" s="126" t="str">
        <f ca="1">IF(AND($C24="Goal",T$7&gt;=$F24,T$7&lt;=$F24+$G24-1),2,IF(AND($C24="Milestone",T$7&gt;=$F24,T$7&lt;=$F24+$G24-1),1,""))</f>
        <v/>
      </c>
      <c r="U24" s="126" t="str">
        <f ca="1">IF(AND($C24="Goal",U$7&gt;=$F24,U$7&lt;=$F24+$G24-1),2,IF(AND($C24="Milestone",U$7&gt;=$F24,U$7&lt;=$F24+$G24-1),1,""))</f>
        <v/>
      </c>
      <c r="V24" s="126" t="str">
        <f ca="1">IF(AND($C24="Goal",V$7&gt;=$F24,V$7&lt;=$F24+$G24-1),2,IF(AND($C24="Milestone",V$7&gt;=$F24,V$7&lt;=$F24+$G24-1),1,""))</f>
        <v/>
      </c>
      <c r="W24" s="126" t="str">
        <f ca="1">IF(AND($C24="Goal",W$7&gt;=$F24,W$7&lt;=$F24+$G24-1),2,IF(AND($C24="Milestone",W$7&gt;=$F24,W$7&lt;=$F24+$G24-1),1,""))</f>
        <v/>
      </c>
      <c r="X24" s="126" t="str">
        <f ca="1">IF(AND($C24="Goal",X$7&gt;=$F24,X$7&lt;=$F24+$G24-1),2,IF(AND($C24="Milestone",X$7&gt;=$F24,X$7&lt;=$F24+$G24-1),1,""))</f>
        <v/>
      </c>
      <c r="Y24" s="126" t="str">
        <f ca="1">IF(AND($C24="Goal",Y$7&gt;=$F24,Y$7&lt;=$F24+$G24-1),2,IF(AND($C24="Milestone",Y$7&gt;=$F24,Y$7&lt;=$F24+$G24-1),1,""))</f>
        <v/>
      </c>
      <c r="Z24" s="126" t="str">
        <f ca="1">IF(AND($C24="Goal",Z$7&gt;=$F24,Z$7&lt;=$F24+$G24-1),2,IF(AND($C24="Milestone",Z$7&gt;=$F24,Z$7&lt;=$F24+$G24-1),1,""))</f>
        <v/>
      </c>
      <c r="AA24" s="126" t="str">
        <f ca="1">IF(AND($C24="Goal",AA$7&gt;=$F24,AA$7&lt;=$F24+$G24-1),2,IF(AND($C24="Milestone",AA$7&gt;=$F24,AA$7&lt;=$F24+$G24-1),1,""))</f>
        <v/>
      </c>
      <c r="AB24" s="126" t="str">
        <f ca="1">IF(AND($C24="Goal",AB$7&gt;=$F24,AB$7&lt;=$F24+$G24-1),2,IF(AND($C24="Milestone",AB$7&gt;=$F24,AB$7&lt;=$F24+$G24-1),1,""))</f>
        <v/>
      </c>
      <c r="AC24" s="126" t="str">
        <f ca="1">IF(AND($C24="Goal",AC$7&gt;=$F24,AC$7&lt;=$F24+$G24-1),2,IF(AND($C24="Milestone",AC$7&gt;=$F24,AC$7&lt;=$F24+$G24-1),1,""))</f>
        <v/>
      </c>
      <c r="AD24" s="126" t="str">
        <f ca="1">IF(AND($C24="Goal",AD$7&gt;=$F24,AD$7&lt;=$F24+$G24-1),2,IF(AND($C24="Milestone",AD$7&gt;=$F24,AD$7&lt;=$F24+$G24-1),1,""))</f>
        <v/>
      </c>
      <c r="AE24" s="126" t="str">
        <f ca="1">IF(AND($C24="Goal",AE$7&gt;=$F24,AE$7&lt;=$F24+$G24-1),2,IF(AND($C24="Milestone",AE$7&gt;=$F24,AE$7&lt;=$F24+$G24-1),1,""))</f>
        <v/>
      </c>
      <c r="AF24" s="126" t="str">
        <f ca="1">IF(AND($C24="Goal",AF$7&gt;=$F24,AF$7&lt;=$F24+$G24-1),2,IF(AND($C24="Milestone",AF$7&gt;=$F24,AF$7&lt;=$F24+$G24-1),1,""))</f>
        <v/>
      </c>
      <c r="AG24" s="126" t="str">
        <f ca="1">IF(AND($C24="Goal",AG$7&gt;=$F24,AG$7&lt;=$F24+$G24-1),2,IF(AND($C24="Milestone",AG$7&gt;=$F24,AG$7&lt;=$F24+$G24-1),1,""))</f>
        <v/>
      </c>
      <c r="AH24" s="126" t="str">
        <f ca="1">IF(AND($C24="Goal",AH$7&gt;=$F24,AH$7&lt;=$F24+$G24-1),2,IF(AND($C24="Milestone",AH$7&gt;=$F24,AH$7&lt;=$F24+$G24-1),1,""))</f>
        <v/>
      </c>
      <c r="AI24" s="126" t="str">
        <f ca="1">IF(AND($C24="Goal",AI$7&gt;=$F24,AI$7&lt;=$F24+$G24-1),2,IF(AND($C24="Milestone",AI$7&gt;=$F24,AI$7&lt;=$F24+$G24-1),1,""))</f>
        <v/>
      </c>
      <c r="AJ24" s="126" t="str">
        <f ca="1">IF(AND($C24="Goal",AJ$7&gt;=$F24,AJ$7&lt;=$F24+$G24-1),2,IF(AND($C24="Milestone",AJ$7&gt;=$F24,AJ$7&lt;=$F24+$G24-1),1,""))</f>
        <v/>
      </c>
      <c r="AK24" s="126" t="str">
        <f ca="1">IF(AND($C24="Goal",AK$7&gt;=$F24,AK$7&lt;=$F24+$G24-1),2,IF(AND($C24="Milestone",AK$7&gt;=$F24,AK$7&lt;=$F24+$G24-1),1,""))</f>
        <v/>
      </c>
      <c r="AL24" s="126" t="str">
        <f ca="1">IF(AND($C24="Goal",AL$7&gt;=$F24,AL$7&lt;=$F24+$G24-1),2,IF(AND($C24="Milestone",AL$7&gt;=$F24,AL$7&lt;=$F24+$G24-1),1,""))</f>
        <v/>
      </c>
      <c r="AM24" s="126" t="str">
        <f ca="1">IF(AND($C24="Goal",AM$7&gt;=$F24,AM$7&lt;=$F24+$G24-1),2,IF(AND($C24="Milestone",AM$7&gt;=$F24,AM$7&lt;=$F24+$G24-1),1,""))</f>
        <v/>
      </c>
      <c r="AN24" s="126" t="str">
        <f ca="1">IF(AND($C24="Goal",AN$7&gt;=$F24,AN$7&lt;=$F24+$G24-1),2,IF(AND($C24="Milestone",AN$7&gt;=$F24,AN$7&lt;=$F24+$G24-1),1,""))</f>
        <v/>
      </c>
      <c r="AO24" s="126" t="str">
        <f ca="1">IF(AND($C24="Goal",AO$7&gt;=$F24,AO$7&lt;=$F24+$G24-1),2,IF(AND($C24="Milestone",AO$7&gt;=$F24,AO$7&lt;=$F24+$G24-1),1,""))</f>
        <v/>
      </c>
      <c r="AP24" s="126" t="str">
        <f ca="1">IF(AND($C24="Goal",AP$7&gt;=$F24,AP$7&lt;=$F24+$G24-1),2,IF(AND($C24="Milestone",AP$7&gt;=$F24,AP$7&lt;=$F24+$G24-1),1,""))</f>
        <v/>
      </c>
      <c r="AQ24" s="126" t="str">
        <f ca="1">IF(AND($C24="Goal",AQ$7&gt;=$F24,AQ$7&lt;=$F24+$G24-1),2,IF(AND($C24="Milestone",AQ$7&gt;=$F24,AQ$7&lt;=$F24+$G24-1),1,""))</f>
        <v/>
      </c>
      <c r="AR24" s="126" t="str">
        <f ca="1">IF(AND($C24="Goal",AR$7&gt;=$F24,AR$7&lt;=$F24+$G24-1),2,IF(AND($C24="Milestone",AR$7&gt;=$F24,AR$7&lt;=$F24+$G24-1),1,""))</f>
        <v/>
      </c>
      <c r="AS24" s="126" t="str">
        <f ca="1">IF(AND($C24="Goal",AS$7&gt;=$F24,AS$7&lt;=$F24+$G24-1),2,IF(AND($C24="Milestone",AS$7&gt;=$F24,AS$7&lt;=$F24+$G24-1),1,""))</f>
        <v/>
      </c>
      <c r="AT24" s="126" t="str">
        <f ca="1">IF(AND($C24="Goal",AT$7&gt;=$F24,AT$7&lt;=$F24+$G24-1),2,IF(AND($C24="Milestone",AT$7&gt;=$F24,AT$7&lt;=$F24+$G24-1),1,""))</f>
        <v/>
      </c>
      <c r="AU24" s="126" t="str">
        <f ca="1">IF(AND($C24="Goal",AU$7&gt;=$F24,AU$7&lt;=$F24+$G24-1),2,IF(AND($C24="Milestone",AU$7&gt;=$F24,AU$7&lt;=$F24+$G24-1),1,""))</f>
        <v/>
      </c>
      <c r="AV24" s="126" t="str">
        <f ca="1">IF(AND($C24="Goal",AV$7&gt;=$F24,AV$7&lt;=$F24+$G24-1),2,IF(AND($C24="Milestone",AV$7&gt;=$F24,AV$7&lt;=$F24+$G24-1),1,""))</f>
        <v/>
      </c>
      <c r="AW24" s="126" t="str">
        <f ca="1">IF(AND($C24="Goal",AW$7&gt;=$F24,AW$7&lt;=$F24+$G24-1),2,IF(AND($C24="Milestone",AW$7&gt;=$F24,AW$7&lt;=$F24+$G24-1),1,""))</f>
        <v/>
      </c>
      <c r="AX24" s="126" t="str">
        <f ca="1">IF(AND($C24="Goal",AX$7&gt;=$F24,AX$7&lt;=$F24+$G24-1),2,IF(AND($C24="Milestone",AX$7&gt;=$F24,AX$7&lt;=$F24+$G24-1),1,""))</f>
        <v/>
      </c>
      <c r="AY24" s="126" t="str">
        <f ca="1">IF(AND($C24="Goal",AY$7&gt;=$F24,AY$7&lt;=$F24+$G24-1),2,IF(AND($C24="Milestone",AY$7&gt;=$F24,AY$7&lt;=$F24+$G24-1),1,""))</f>
        <v/>
      </c>
      <c r="AZ24" s="126" t="str">
        <f ca="1">IF(AND($C24="Goal",AZ$7&gt;=$F24,AZ$7&lt;=$F24+$G24-1),2,IF(AND($C24="Milestone",AZ$7&gt;=$F24,AZ$7&lt;=$F24+$G24-1),1,""))</f>
        <v/>
      </c>
      <c r="BA24" s="126" t="str">
        <f ca="1">IF(AND($C24="Goal",BA$7&gt;=$F24,BA$7&lt;=$F24+$G24-1),2,IF(AND($C24="Milestone",BA$7&gt;=$F24,BA$7&lt;=$F24+$G24-1),1,""))</f>
        <v/>
      </c>
      <c r="BB24" s="126" t="str">
        <f ca="1">IF(AND($C24="Goal",BB$7&gt;=$F24,BB$7&lt;=$F24+$G24-1),2,IF(AND($C24="Milestone",BB$7&gt;=$F24,BB$7&lt;=$F24+$G24-1),1,""))</f>
        <v/>
      </c>
      <c r="BC24" s="126" t="str">
        <f ca="1">IF(AND($C24="Goal",BC$7&gt;=$F24,BC$7&lt;=$F24+$G24-1),2,IF(AND($C24="Milestone",BC$7&gt;=$F24,BC$7&lt;=$F24+$G24-1),1,""))</f>
        <v/>
      </c>
      <c r="BD24" s="126" t="str">
        <f ca="1">IF(AND($C24="Goal",BD$7&gt;=$F24,BD$7&lt;=$F24+$G24-1),2,IF(AND($C24="Milestone",BD$7&gt;=$F24,BD$7&lt;=$F24+$G24-1),1,""))</f>
        <v/>
      </c>
      <c r="BE24" s="126" t="str">
        <f ca="1">IF(AND($C24="Goal",BE$7&gt;=$F24,BE$7&lt;=$F24+$G24-1),2,IF(AND($C24="Milestone",BE$7&gt;=$F24,BE$7&lt;=$F24+$G24-1),1,""))</f>
        <v/>
      </c>
      <c r="BF24" s="126" t="str">
        <f ca="1">IF(AND($C24="Goal",BF$7&gt;=$F24,BF$7&lt;=$F24+$G24-1),2,IF(AND($C24="Milestone",BF$7&gt;=$F24,BF$7&lt;=$F24+$G24-1),1,""))</f>
        <v/>
      </c>
      <c r="BG24" s="126" t="str">
        <f ca="1">IF(AND($C24="Goal",BG$7&gt;=$F24,BG$7&lt;=$F24+$G24-1),2,IF(AND($C24="Milestone",BG$7&gt;=$F24,BG$7&lt;=$F24+$G24-1),1,""))</f>
        <v/>
      </c>
      <c r="BH24" s="126" t="str">
        <f ca="1">IF(AND($C24="Goal",BH$7&gt;=$F24,BH$7&lt;=$F24+$G24-1),2,IF(AND($C24="Milestone",BH$7&gt;=$F24,BH$7&lt;=$F24+$G24-1),1,""))</f>
        <v/>
      </c>
      <c r="BI24" s="126" t="str">
        <f ca="1">IF(AND($C24="Goal",BI$7&gt;=$F24,BI$7&lt;=$F24+$G24-1),2,IF(AND($C24="Milestone",BI$7&gt;=$F24,BI$7&lt;=$F24+$G24-1),1,""))</f>
        <v/>
      </c>
      <c r="BJ24" s="126" t="str">
        <f ca="1">IF(AND($C24="Goal",BJ$7&gt;=$F24,BJ$7&lt;=$F24+$G24-1),2,IF(AND($C24="Milestone",BJ$7&gt;=$F24,BJ$7&lt;=$F24+$G24-1),1,""))</f>
        <v/>
      </c>
      <c r="BK24" s="126" t="str">
        <f ca="1">IF(AND($C24="Goal",BK$7&gt;=$F24,BK$7&lt;=$F24+$G24-1),2,IF(AND($C24="Milestone",BK$7&gt;=$F24,BK$7&lt;=$F24+$G24-1),1,""))</f>
        <v/>
      </c>
      <c r="BL24" s="126" t="str">
        <f ca="1">IF(AND($C24="Goal",BL$7&gt;=$F24,BL$7&lt;=$F24+$G24-1),2,IF(AND($C24="Milestone",BL$7&gt;=$F24,BL$7&lt;=$F24+$G24-1),1,""))</f>
        <v/>
      </c>
      <c r="BM24" s="27"/>
    </row>
    <row r="25" spans="1:65" s="1" customFormat="1" ht="40" customHeight="1" x14ac:dyDescent="0.35">
      <c r="A25" s="9"/>
      <c r="B25" s="25" t="s">
        <v>81</v>
      </c>
      <c r="C25" s="21"/>
      <c r="D25" s="21" t="s">
        <v>92</v>
      </c>
      <c r="E25" s="22">
        <v>0</v>
      </c>
      <c r="F25" s="23">
        <f>F24+7</f>
        <v>46304</v>
      </c>
      <c r="G25" s="24">
        <v>7</v>
      </c>
      <c r="H25" s="19"/>
      <c r="I25" s="125" t="str">
        <f ca="1">IF(AND($C25="Goal",I$7&gt;=$F25,I$7&lt;=$F25+$G25-1),2,IF(AND($C25="Milestone",I$7&gt;=$F25,I$7&lt;=$F25+$G25-1),1,""))</f>
        <v/>
      </c>
      <c r="J25" s="126" t="str">
        <f ca="1">IF(AND($C25="Goal",J$7&gt;=$F25,J$7&lt;=$F25+$G25-1),2,IF(AND($C25="Milestone",J$7&gt;=$F25,J$7&lt;=$F25+$G25-1),1,""))</f>
        <v/>
      </c>
      <c r="K25" s="126" t="str">
        <f ca="1">IF(AND($C25="Goal",K$7&gt;=$F25,K$7&lt;=$F25+$G25-1),2,IF(AND($C25="Milestone",K$7&gt;=$F25,K$7&lt;=$F25+$G25-1),1,""))</f>
        <v/>
      </c>
      <c r="L25" s="126" t="str">
        <f ca="1">IF(AND($C25="Goal",L$7&gt;=$F25,L$7&lt;=$F25+$G25-1),2,IF(AND($C25="Milestone",L$7&gt;=$F25,L$7&lt;=$F25+$G25-1),1,""))</f>
        <v/>
      </c>
      <c r="M25" s="126" t="str">
        <f ca="1">IF(AND($C25="Goal",M$7&gt;=$F25,M$7&lt;=$F25+$G25-1),2,IF(AND($C25="Milestone",M$7&gt;=$F25,M$7&lt;=$F25+$G25-1),1,""))</f>
        <v/>
      </c>
      <c r="N25" s="126" t="str">
        <f ca="1">IF(AND($C25="Goal",N$7&gt;=$F25,N$7&lt;=$F25+$G25-1),2,IF(AND($C25="Milestone",N$7&gt;=$F25,N$7&lt;=$F25+$G25-1),1,""))</f>
        <v/>
      </c>
      <c r="O25" s="126" t="str">
        <f ca="1">IF(AND($C25="Goal",O$7&gt;=$F25,O$7&lt;=$F25+$G25-1),2,IF(AND($C25="Milestone",O$7&gt;=$F25,O$7&lt;=$F25+$G25-1),1,""))</f>
        <v/>
      </c>
      <c r="P25" s="126" t="str">
        <f ca="1">IF(AND($C25="Goal",P$7&gt;=$F25,P$7&lt;=$F25+$G25-1),2,IF(AND($C25="Milestone",P$7&gt;=$F25,P$7&lt;=$F25+$G25-1),1,""))</f>
        <v/>
      </c>
      <c r="Q25" s="126" t="str">
        <f ca="1">IF(AND($C25="Goal",Q$7&gt;=$F25,Q$7&lt;=$F25+$G25-1),2,IF(AND($C25="Milestone",Q$7&gt;=$F25,Q$7&lt;=$F25+$G25-1),1,""))</f>
        <v/>
      </c>
      <c r="R25" s="126" t="str">
        <f ca="1">IF(AND($C25="Goal",R$7&gt;=$F25,R$7&lt;=$F25+$G25-1),2,IF(AND($C25="Milestone",R$7&gt;=$F25,R$7&lt;=$F25+$G25-1),1,""))</f>
        <v/>
      </c>
      <c r="S25" s="126" t="str">
        <f ca="1">IF(AND($C25="Goal",S$7&gt;=$F25,S$7&lt;=$F25+$G25-1),2,IF(AND($C25="Milestone",S$7&gt;=$F25,S$7&lt;=$F25+$G25-1),1,""))</f>
        <v/>
      </c>
      <c r="T25" s="126" t="str">
        <f ca="1">IF(AND($C25="Goal",T$7&gt;=$F25,T$7&lt;=$F25+$G25-1),2,IF(AND($C25="Milestone",T$7&gt;=$F25,T$7&lt;=$F25+$G25-1),1,""))</f>
        <v/>
      </c>
      <c r="U25" s="126" t="str">
        <f ca="1">IF(AND($C25="Goal",U$7&gt;=$F25,U$7&lt;=$F25+$G25-1),2,IF(AND($C25="Milestone",U$7&gt;=$F25,U$7&lt;=$F25+$G25-1),1,""))</f>
        <v/>
      </c>
      <c r="V25" s="126" t="str">
        <f ca="1">IF(AND($C25="Goal",V$7&gt;=$F25,V$7&lt;=$F25+$G25-1),2,IF(AND($C25="Milestone",V$7&gt;=$F25,V$7&lt;=$F25+$G25-1),1,""))</f>
        <v/>
      </c>
      <c r="W25" s="126" t="str">
        <f ca="1">IF(AND($C25="Goal",W$7&gt;=$F25,W$7&lt;=$F25+$G25-1),2,IF(AND($C25="Milestone",W$7&gt;=$F25,W$7&lt;=$F25+$G25-1),1,""))</f>
        <v/>
      </c>
      <c r="X25" s="126" t="str">
        <f ca="1">IF(AND($C25="Goal",X$7&gt;=$F25,X$7&lt;=$F25+$G25-1),2,IF(AND($C25="Milestone",X$7&gt;=$F25,X$7&lt;=$F25+$G25-1),1,""))</f>
        <v/>
      </c>
      <c r="Y25" s="126" t="str">
        <f ca="1">IF(AND($C25="Goal",Y$7&gt;=$F25,Y$7&lt;=$F25+$G25-1),2,IF(AND($C25="Milestone",Y$7&gt;=$F25,Y$7&lt;=$F25+$G25-1),1,""))</f>
        <v/>
      </c>
      <c r="Z25" s="126" t="str">
        <f ca="1">IF(AND($C25="Goal",Z$7&gt;=$F25,Z$7&lt;=$F25+$G25-1),2,IF(AND($C25="Milestone",Z$7&gt;=$F25,Z$7&lt;=$F25+$G25-1),1,""))</f>
        <v/>
      </c>
      <c r="AA25" s="126" t="str">
        <f ca="1">IF(AND($C25="Goal",AA$7&gt;=$F25,AA$7&lt;=$F25+$G25-1),2,IF(AND($C25="Milestone",AA$7&gt;=$F25,AA$7&lt;=$F25+$G25-1),1,""))</f>
        <v/>
      </c>
      <c r="AB25" s="126" t="str">
        <f ca="1">IF(AND($C25="Goal",AB$7&gt;=$F25,AB$7&lt;=$F25+$G25-1),2,IF(AND($C25="Milestone",AB$7&gt;=$F25,AB$7&lt;=$F25+$G25-1),1,""))</f>
        <v/>
      </c>
      <c r="AC25" s="126" t="str">
        <f ca="1">IF(AND($C25="Goal",AC$7&gt;=$F25,AC$7&lt;=$F25+$G25-1),2,IF(AND($C25="Milestone",AC$7&gt;=$F25,AC$7&lt;=$F25+$G25-1),1,""))</f>
        <v/>
      </c>
      <c r="AD25" s="126" t="str">
        <f ca="1">IF(AND($C25="Goal",AD$7&gt;=$F25,AD$7&lt;=$F25+$G25-1),2,IF(AND($C25="Milestone",AD$7&gt;=$F25,AD$7&lt;=$F25+$G25-1),1,""))</f>
        <v/>
      </c>
      <c r="AE25" s="126" t="str">
        <f ca="1">IF(AND($C25="Goal",AE$7&gt;=$F25,AE$7&lt;=$F25+$G25-1),2,IF(AND($C25="Milestone",AE$7&gt;=$F25,AE$7&lt;=$F25+$G25-1),1,""))</f>
        <v/>
      </c>
      <c r="AF25" s="126" t="str">
        <f ca="1">IF(AND($C25="Goal",AF$7&gt;=$F25,AF$7&lt;=$F25+$G25-1),2,IF(AND($C25="Milestone",AF$7&gt;=$F25,AF$7&lt;=$F25+$G25-1),1,""))</f>
        <v/>
      </c>
      <c r="AG25" s="126" t="str">
        <f ca="1">IF(AND($C25="Goal",AG$7&gt;=$F25,AG$7&lt;=$F25+$G25-1),2,IF(AND($C25="Milestone",AG$7&gt;=$F25,AG$7&lt;=$F25+$G25-1),1,""))</f>
        <v/>
      </c>
      <c r="AH25" s="126" t="str">
        <f ca="1">IF(AND($C25="Goal",AH$7&gt;=$F25,AH$7&lt;=$F25+$G25-1),2,IF(AND($C25="Milestone",AH$7&gt;=$F25,AH$7&lt;=$F25+$G25-1),1,""))</f>
        <v/>
      </c>
      <c r="AI25" s="126" t="str">
        <f ca="1">IF(AND($C25="Goal",AI$7&gt;=$F25,AI$7&lt;=$F25+$G25-1),2,IF(AND($C25="Milestone",AI$7&gt;=$F25,AI$7&lt;=$F25+$G25-1),1,""))</f>
        <v/>
      </c>
      <c r="AJ25" s="126" t="str">
        <f ca="1">IF(AND($C25="Goal",AJ$7&gt;=$F25,AJ$7&lt;=$F25+$G25-1),2,IF(AND($C25="Milestone",AJ$7&gt;=$F25,AJ$7&lt;=$F25+$G25-1),1,""))</f>
        <v/>
      </c>
      <c r="AK25" s="126" t="str">
        <f ca="1">IF(AND($C25="Goal",AK$7&gt;=$F25,AK$7&lt;=$F25+$G25-1),2,IF(AND($C25="Milestone",AK$7&gt;=$F25,AK$7&lt;=$F25+$G25-1),1,""))</f>
        <v/>
      </c>
      <c r="AL25" s="126" t="str">
        <f ca="1">IF(AND($C25="Goal",AL$7&gt;=$F25,AL$7&lt;=$F25+$G25-1),2,IF(AND($C25="Milestone",AL$7&gt;=$F25,AL$7&lt;=$F25+$G25-1),1,""))</f>
        <v/>
      </c>
      <c r="AM25" s="126" t="str">
        <f ca="1">IF(AND($C25="Goal",AM$7&gt;=$F25,AM$7&lt;=$F25+$G25-1),2,IF(AND($C25="Milestone",AM$7&gt;=$F25,AM$7&lt;=$F25+$G25-1),1,""))</f>
        <v/>
      </c>
      <c r="AN25" s="126" t="str">
        <f ca="1">IF(AND($C25="Goal",AN$7&gt;=$F25,AN$7&lt;=$F25+$G25-1),2,IF(AND($C25="Milestone",AN$7&gt;=$F25,AN$7&lt;=$F25+$G25-1),1,""))</f>
        <v/>
      </c>
      <c r="AO25" s="126" t="str">
        <f ca="1">IF(AND($C25="Goal",AO$7&gt;=$F25,AO$7&lt;=$F25+$G25-1),2,IF(AND($C25="Milestone",AO$7&gt;=$F25,AO$7&lt;=$F25+$G25-1),1,""))</f>
        <v/>
      </c>
      <c r="AP25" s="126" t="str">
        <f ca="1">IF(AND($C25="Goal",AP$7&gt;=$F25,AP$7&lt;=$F25+$G25-1),2,IF(AND($C25="Milestone",AP$7&gt;=$F25,AP$7&lt;=$F25+$G25-1),1,""))</f>
        <v/>
      </c>
      <c r="AQ25" s="126" t="str">
        <f ca="1">IF(AND($C25="Goal",AQ$7&gt;=$F25,AQ$7&lt;=$F25+$G25-1),2,IF(AND($C25="Milestone",AQ$7&gt;=$F25,AQ$7&lt;=$F25+$G25-1),1,""))</f>
        <v/>
      </c>
      <c r="AR25" s="126" t="str">
        <f ca="1">IF(AND($C25="Goal",AR$7&gt;=$F25,AR$7&lt;=$F25+$G25-1),2,IF(AND($C25="Milestone",AR$7&gt;=$F25,AR$7&lt;=$F25+$G25-1),1,""))</f>
        <v/>
      </c>
      <c r="AS25" s="126" t="str">
        <f ca="1">IF(AND($C25="Goal",AS$7&gt;=$F25,AS$7&lt;=$F25+$G25-1),2,IF(AND($C25="Milestone",AS$7&gt;=$F25,AS$7&lt;=$F25+$G25-1),1,""))</f>
        <v/>
      </c>
      <c r="AT25" s="126" t="str">
        <f ca="1">IF(AND($C25="Goal",AT$7&gt;=$F25,AT$7&lt;=$F25+$G25-1),2,IF(AND($C25="Milestone",AT$7&gt;=$F25,AT$7&lt;=$F25+$G25-1),1,""))</f>
        <v/>
      </c>
      <c r="AU25" s="126" t="str">
        <f ca="1">IF(AND($C25="Goal",AU$7&gt;=$F25,AU$7&lt;=$F25+$G25-1),2,IF(AND($C25="Milestone",AU$7&gt;=$F25,AU$7&lt;=$F25+$G25-1),1,""))</f>
        <v/>
      </c>
      <c r="AV25" s="126" t="str">
        <f ca="1">IF(AND($C25="Goal",AV$7&gt;=$F25,AV$7&lt;=$F25+$G25-1),2,IF(AND($C25="Milestone",AV$7&gt;=$F25,AV$7&lt;=$F25+$G25-1),1,""))</f>
        <v/>
      </c>
      <c r="AW25" s="126" t="str">
        <f ca="1">IF(AND($C25="Goal",AW$7&gt;=$F25,AW$7&lt;=$F25+$G25-1),2,IF(AND($C25="Milestone",AW$7&gt;=$F25,AW$7&lt;=$F25+$G25-1),1,""))</f>
        <v/>
      </c>
      <c r="AX25" s="126" t="str">
        <f ca="1">IF(AND($C25="Goal",AX$7&gt;=$F25,AX$7&lt;=$F25+$G25-1),2,IF(AND($C25="Milestone",AX$7&gt;=$F25,AX$7&lt;=$F25+$G25-1),1,""))</f>
        <v/>
      </c>
      <c r="AY25" s="126" t="str">
        <f ca="1">IF(AND($C25="Goal",AY$7&gt;=$F25,AY$7&lt;=$F25+$G25-1),2,IF(AND($C25="Milestone",AY$7&gt;=$F25,AY$7&lt;=$F25+$G25-1),1,""))</f>
        <v/>
      </c>
      <c r="AZ25" s="126" t="str">
        <f ca="1">IF(AND($C25="Goal",AZ$7&gt;=$F25,AZ$7&lt;=$F25+$G25-1),2,IF(AND($C25="Milestone",AZ$7&gt;=$F25,AZ$7&lt;=$F25+$G25-1),1,""))</f>
        <v/>
      </c>
      <c r="BA25" s="126" t="str">
        <f ca="1">IF(AND($C25="Goal",BA$7&gt;=$F25,BA$7&lt;=$F25+$G25-1),2,IF(AND($C25="Milestone",BA$7&gt;=$F25,BA$7&lt;=$F25+$G25-1),1,""))</f>
        <v/>
      </c>
      <c r="BB25" s="126" t="str">
        <f ca="1">IF(AND($C25="Goal",BB$7&gt;=$F25,BB$7&lt;=$F25+$G25-1),2,IF(AND($C25="Milestone",BB$7&gt;=$F25,BB$7&lt;=$F25+$G25-1),1,""))</f>
        <v/>
      </c>
      <c r="BC25" s="126" t="str">
        <f ca="1">IF(AND($C25="Goal",BC$7&gt;=$F25,BC$7&lt;=$F25+$G25-1),2,IF(AND($C25="Milestone",BC$7&gt;=$F25,BC$7&lt;=$F25+$G25-1),1,""))</f>
        <v/>
      </c>
      <c r="BD25" s="126" t="str">
        <f ca="1">IF(AND($C25="Goal",BD$7&gt;=$F25,BD$7&lt;=$F25+$G25-1),2,IF(AND($C25="Milestone",BD$7&gt;=$F25,BD$7&lt;=$F25+$G25-1),1,""))</f>
        <v/>
      </c>
      <c r="BE25" s="126" t="str">
        <f ca="1">IF(AND($C25="Goal",BE$7&gt;=$F25,BE$7&lt;=$F25+$G25-1),2,IF(AND($C25="Milestone",BE$7&gt;=$F25,BE$7&lt;=$F25+$G25-1),1,""))</f>
        <v/>
      </c>
      <c r="BF25" s="126" t="str">
        <f ca="1">IF(AND($C25="Goal",BF$7&gt;=$F25,BF$7&lt;=$F25+$G25-1),2,IF(AND($C25="Milestone",BF$7&gt;=$F25,BF$7&lt;=$F25+$G25-1),1,""))</f>
        <v/>
      </c>
      <c r="BG25" s="126" t="str">
        <f ca="1">IF(AND($C25="Goal",BG$7&gt;=$F25,BG$7&lt;=$F25+$G25-1),2,IF(AND($C25="Milestone",BG$7&gt;=$F25,BG$7&lt;=$F25+$G25-1),1,""))</f>
        <v/>
      </c>
      <c r="BH25" s="126" t="str">
        <f ca="1">IF(AND($C25="Goal",BH$7&gt;=$F25,BH$7&lt;=$F25+$G25-1),2,IF(AND($C25="Milestone",BH$7&gt;=$F25,BH$7&lt;=$F25+$G25-1),1,""))</f>
        <v/>
      </c>
      <c r="BI25" s="126" t="str">
        <f ca="1">IF(AND($C25="Goal",BI$7&gt;=$F25,BI$7&lt;=$F25+$G25-1),2,IF(AND($C25="Milestone",BI$7&gt;=$F25,BI$7&lt;=$F25+$G25-1),1,""))</f>
        <v/>
      </c>
      <c r="BJ25" s="126" t="str">
        <f ca="1">IF(AND($C25="Goal",BJ$7&gt;=$F25,BJ$7&lt;=$F25+$G25-1),2,IF(AND($C25="Milestone",BJ$7&gt;=$F25,BJ$7&lt;=$F25+$G25-1),1,""))</f>
        <v/>
      </c>
      <c r="BK25" s="126" t="str">
        <f ca="1">IF(AND($C25="Goal",BK$7&gt;=$F25,BK$7&lt;=$F25+$G25-1),2,IF(AND($C25="Milestone",BK$7&gt;=$F25,BK$7&lt;=$F25+$G25-1),1,""))</f>
        <v/>
      </c>
      <c r="BL25" s="126" t="str">
        <f ca="1">IF(AND($C25="Goal",BL$7&gt;=$F25,BL$7&lt;=$F25+$G25-1),2,IF(AND($C25="Milestone",BL$7&gt;=$F25,BL$7&lt;=$F25+$G25-1),1,""))</f>
        <v/>
      </c>
      <c r="BM25" s="27"/>
    </row>
    <row r="26" spans="1:65" s="1" customFormat="1" ht="40" customHeight="1" x14ac:dyDescent="0.35">
      <c r="A26" s="9"/>
      <c r="B26" s="25" t="s">
        <v>82</v>
      </c>
      <c r="C26" s="21"/>
      <c r="D26" s="21" t="s">
        <v>93</v>
      </c>
      <c r="E26" s="22">
        <v>0</v>
      </c>
      <c r="F26" s="23">
        <f t="shared" ref="F26:F30" si="11">F25</f>
        <v>46304</v>
      </c>
      <c r="G26" s="24">
        <v>7</v>
      </c>
      <c r="H26" s="19"/>
      <c r="I26" s="125" t="str">
        <f ca="1">IF(AND($C26="Goal",I$7&gt;=$F26,I$7&lt;=$F26+$G26-1),2,IF(AND($C26="Milestone",I$7&gt;=$F26,I$7&lt;=$F26+$G26-1),1,""))</f>
        <v/>
      </c>
      <c r="J26" s="126" t="str">
        <f ca="1">IF(AND($C26="Goal",J$7&gt;=$F26,J$7&lt;=$F26+$G26-1),2,IF(AND($C26="Milestone",J$7&gt;=$F26,J$7&lt;=$F26+$G26-1),1,""))</f>
        <v/>
      </c>
      <c r="K26" s="126" t="str">
        <f ca="1">IF(AND($C26="Goal",K$7&gt;=$F26,K$7&lt;=$F26+$G26-1),2,IF(AND($C26="Milestone",K$7&gt;=$F26,K$7&lt;=$F26+$G26-1),1,""))</f>
        <v/>
      </c>
      <c r="L26" s="126" t="str">
        <f ca="1">IF(AND($C26="Goal",L$7&gt;=$F26,L$7&lt;=$F26+$G26-1),2,IF(AND($C26="Milestone",L$7&gt;=$F26,L$7&lt;=$F26+$G26-1),1,""))</f>
        <v/>
      </c>
      <c r="M26" s="126" t="str">
        <f ca="1">IF(AND($C26="Goal",M$7&gt;=$F26,M$7&lt;=$F26+$G26-1),2,IF(AND($C26="Milestone",M$7&gt;=$F26,M$7&lt;=$F26+$G26-1),1,""))</f>
        <v/>
      </c>
      <c r="N26" s="126" t="str">
        <f ca="1">IF(AND($C26="Goal",N$7&gt;=$F26,N$7&lt;=$F26+$G26-1),2,IF(AND($C26="Milestone",N$7&gt;=$F26,N$7&lt;=$F26+$G26-1),1,""))</f>
        <v/>
      </c>
      <c r="O26" s="126" t="str">
        <f ca="1">IF(AND($C26="Goal",O$7&gt;=$F26,O$7&lt;=$F26+$G26-1),2,IF(AND($C26="Milestone",O$7&gt;=$F26,O$7&lt;=$F26+$G26-1),1,""))</f>
        <v/>
      </c>
      <c r="P26" s="126" t="str">
        <f ca="1">IF(AND($C26="Goal",P$7&gt;=$F26,P$7&lt;=$F26+$G26-1),2,IF(AND($C26="Milestone",P$7&gt;=$F26,P$7&lt;=$F26+$G26-1),1,""))</f>
        <v/>
      </c>
      <c r="Q26" s="126" t="str">
        <f ca="1">IF(AND($C26="Goal",Q$7&gt;=$F26,Q$7&lt;=$F26+$G26-1),2,IF(AND($C26="Milestone",Q$7&gt;=$F26,Q$7&lt;=$F26+$G26-1),1,""))</f>
        <v/>
      </c>
      <c r="R26" s="126" t="str">
        <f ca="1">IF(AND($C26="Goal",R$7&gt;=$F26,R$7&lt;=$F26+$G26-1),2,IF(AND($C26="Milestone",R$7&gt;=$F26,R$7&lt;=$F26+$G26-1),1,""))</f>
        <v/>
      </c>
      <c r="S26" s="126" t="str">
        <f ca="1">IF(AND($C26="Goal",S$7&gt;=$F26,S$7&lt;=$F26+$G26-1),2,IF(AND($C26="Milestone",S$7&gt;=$F26,S$7&lt;=$F26+$G26-1),1,""))</f>
        <v/>
      </c>
      <c r="T26" s="126" t="str">
        <f ca="1">IF(AND($C26="Goal",T$7&gt;=$F26,T$7&lt;=$F26+$G26-1),2,IF(AND($C26="Milestone",T$7&gt;=$F26,T$7&lt;=$F26+$G26-1),1,""))</f>
        <v/>
      </c>
      <c r="U26" s="126" t="str">
        <f ca="1">IF(AND($C26="Goal",U$7&gt;=$F26,U$7&lt;=$F26+$G26-1),2,IF(AND($C26="Milestone",U$7&gt;=$F26,U$7&lt;=$F26+$G26-1),1,""))</f>
        <v/>
      </c>
      <c r="V26" s="126" t="str">
        <f ca="1">IF(AND($C26="Goal",V$7&gt;=$F26,V$7&lt;=$F26+$G26-1),2,IF(AND($C26="Milestone",V$7&gt;=$F26,V$7&lt;=$F26+$G26-1),1,""))</f>
        <v/>
      </c>
      <c r="W26" s="126" t="str">
        <f ca="1">IF(AND($C26="Goal",W$7&gt;=$F26,W$7&lt;=$F26+$G26-1),2,IF(AND($C26="Milestone",W$7&gt;=$F26,W$7&lt;=$F26+$G26-1),1,""))</f>
        <v/>
      </c>
      <c r="X26" s="126" t="str">
        <f ca="1">IF(AND($C26="Goal",X$7&gt;=$F26,X$7&lt;=$F26+$G26-1),2,IF(AND($C26="Milestone",X$7&gt;=$F26,X$7&lt;=$F26+$G26-1),1,""))</f>
        <v/>
      </c>
      <c r="Y26" s="126" t="str">
        <f ca="1">IF(AND($C26="Goal",Y$7&gt;=$F26,Y$7&lt;=$F26+$G26-1),2,IF(AND($C26="Milestone",Y$7&gt;=$F26,Y$7&lt;=$F26+$G26-1),1,""))</f>
        <v/>
      </c>
      <c r="Z26" s="126" t="str">
        <f ca="1">IF(AND($C26="Goal",Z$7&gt;=$F26,Z$7&lt;=$F26+$G26-1),2,IF(AND($C26="Milestone",Z$7&gt;=$F26,Z$7&lt;=$F26+$G26-1),1,""))</f>
        <v/>
      </c>
      <c r="AA26" s="126" t="str">
        <f ca="1">IF(AND($C26="Goal",AA$7&gt;=$F26,AA$7&lt;=$F26+$G26-1),2,IF(AND($C26="Milestone",AA$7&gt;=$F26,AA$7&lt;=$F26+$G26-1),1,""))</f>
        <v/>
      </c>
      <c r="AB26" s="126" t="str">
        <f ca="1">IF(AND($C26="Goal",AB$7&gt;=$F26,AB$7&lt;=$F26+$G26-1),2,IF(AND($C26="Milestone",AB$7&gt;=$F26,AB$7&lt;=$F26+$G26-1),1,""))</f>
        <v/>
      </c>
      <c r="AC26" s="126" t="str">
        <f ca="1">IF(AND($C26="Goal",AC$7&gt;=$F26,AC$7&lt;=$F26+$G26-1),2,IF(AND($C26="Milestone",AC$7&gt;=$F26,AC$7&lt;=$F26+$G26-1),1,""))</f>
        <v/>
      </c>
      <c r="AD26" s="126" t="str">
        <f ca="1">IF(AND($C26="Goal",AD$7&gt;=$F26,AD$7&lt;=$F26+$G26-1),2,IF(AND($C26="Milestone",AD$7&gt;=$F26,AD$7&lt;=$F26+$G26-1),1,""))</f>
        <v/>
      </c>
      <c r="AE26" s="126" t="str">
        <f ca="1">IF(AND($C26="Goal",AE$7&gt;=$F26,AE$7&lt;=$F26+$G26-1),2,IF(AND($C26="Milestone",AE$7&gt;=$F26,AE$7&lt;=$F26+$G26-1),1,""))</f>
        <v/>
      </c>
      <c r="AF26" s="126" t="str">
        <f ca="1">IF(AND($C26="Goal",AF$7&gt;=$F26,AF$7&lt;=$F26+$G26-1),2,IF(AND($C26="Milestone",AF$7&gt;=$F26,AF$7&lt;=$F26+$G26-1),1,""))</f>
        <v/>
      </c>
      <c r="AG26" s="126" t="str">
        <f ca="1">IF(AND($C26="Goal",AG$7&gt;=$F26,AG$7&lt;=$F26+$G26-1),2,IF(AND($C26="Milestone",AG$7&gt;=$F26,AG$7&lt;=$F26+$G26-1),1,""))</f>
        <v/>
      </c>
      <c r="AH26" s="126" t="str">
        <f ca="1">IF(AND($C26="Goal",AH$7&gt;=$F26,AH$7&lt;=$F26+$G26-1),2,IF(AND($C26="Milestone",AH$7&gt;=$F26,AH$7&lt;=$F26+$G26-1),1,""))</f>
        <v/>
      </c>
      <c r="AI26" s="126" t="str">
        <f ca="1">IF(AND($C26="Goal",AI$7&gt;=$F26,AI$7&lt;=$F26+$G26-1),2,IF(AND($C26="Milestone",AI$7&gt;=$F26,AI$7&lt;=$F26+$G26-1),1,""))</f>
        <v/>
      </c>
      <c r="AJ26" s="126" t="str">
        <f ca="1">IF(AND($C26="Goal",AJ$7&gt;=$F26,AJ$7&lt;=$F26+$G26-1),2,IF(AND($C26="Milestone",AJ$7&gt;=$F26,AJ$7&lt;=$F26+$G26-1),1,""))</f>
        <v/>
      </c>
      <c r="AK26" s="126" t="str">
        <f ca="1">IF(AND($C26="Goal",AK$7&gt;=$F26,AK$7&lt;=$F26+$G26-1),2,IF(AND($C26="Milestone",AK$7&gt;=$F26,AK$7&lt;=$F26+$G26-1),1,""))</f>
        <v/>
      </c>
      <c r="AL26" s="126" t="str">
        <f ca="1">IF(AND($C26="Goal",AL$7&gt;=$F26,AL$7&lt;=$F26+$G26-1),2,IF(AND($C26="Milestone",AL$7&gt;=$F26,AL$7&lt;=$F26+$G26-1),1,""))</f>
        <v/>
      </c>
      <c r="AM26" s="126" t="str">
        <f ca="1">IF(AND($C26="Goal",AM$7&gt;=$F26,AM$7&lt;=$F26+$G26-1),2,IF(AND($C26="Milestone",AM$7&gt;=$F26,AM$7&lt;=$F26+$G26-1),1,""))</f>
        <v/>
      </c>
      <c r="AN26" s="126" t="str">
        <f ca="1">IF(AND($C26="Goal",AN$7&gt;=$F26,AN$7&lt;=$F26+$G26-1),2,IF(AND($C26="Milestone",AN$7&gt;=$F26,AN$7&lt;=$F26+$G26-1),1,""))</f>
        <v/>
      </c>
      <c r="AO26" s="126" t="str">
        <f ca="1">IF(AND($C26="Goal",AO$7&gt;=$F26,AO$7&lt;=$F26+$G26-1),2,IF(AND($C26="Milestone",AO$7&gt;=$F26,AO$7&lt;=$F26+$G26-1),1,""))</f>
        <v/>
      </c>
      <c r="AP26" s="126" t="str">
        <f ca="1">IF(AND($C26="Goal",AP$7&gt;=$F26,AP$7&lt;=$F26+$G26-1),2,IF(AND($C26="Milestone",AP$7&gt;=$F26,AP$7&lt;=$F26+$G26-1),1,""))</f>
        <v/>
      </c>
      <c r="AQ26" s="126" t="str">
        <f ca="1">IF(AND($C26="Goal",AQ$7&gt;=$F26,AQ$7&lt;=$F26+$G26-1),2,IF(AND($C26="Milestone",AQ$7&gt;=$F26,AQ$7&lt;=$F26+$G26-1),1,""))</f>
        <v/>
      </c>
      <c r="AR26" s="126" t="str">
        <f ca="1">IF(AND($C26="Goal",AR$7&gt;=$F26,AR$7&lt;=$F26+$G26-1),2,IF(AND($C26="Milestone",AR$7&gt;=$F26,AR$7&lt;=$F26+$G26-1),1,""))</f>
        <v/>
      </c>
      <c r="AS26" s="126" t="str">
        <f ca="1">IF(AND($C26="Goal",AS$7&gt;=$F26,AS$7&lt;=$F26+$G26-1),2,IF(AND($C26="Milestone",AS$7&gt;=$F26,AS$7&lt;=$F26+$G26-1),1,""))</f>
        <v/>
      </c>
      <c r="AT26" s="126" t="str">
        <f ca="1">IF(AND($C26="Goal",AT$7&gt;=$F26,AT$7&lt;=$F26+$G26-1),2,IF(AND($C26="Milestone",AT$7&gt;=$F26,AT$7&lt;=$F26+$G26-1),1,""))</f>
        <v/>
      </c>
      <c r="AU26" s="126" t="str">
        <f ca="1">IF(AND($C26="Goal",AU$7&gt;=$F26,AU$7&lt;=$F26+$G26-1),2,IF(AND($C26="Milestone",AU$7&gt;=$F26,AU$7&lt;=$F26+$G26-1),1,""))</f>
        <v/>
      </c>
      <c r="AV26" s="126" t="str">
        <f ca="1">IF(AND($C26="Goal",AV$7&gt;=$F26,AV$7&lt;=$F26+$G26-1),2,IF(AND($C26="Milestone",AV$7&gt;=$F26,AV$7&lt;=$F26+$G26-1),1,""))</f>
        <v/>
      </c>
      <c r="AW26" s="126" t="str">
        <f ca="1">IF(AND($C26="Goal",AW$7&gt;=$F26,AW$7&lt;=$F26+$G26-1),2,IF(AND($C26="Milestone",AW$7&gt;=$F26,AW$7&lt;=$F26+$G26-1),1,""))</f>
        <v/>
      </c>
      <c r="AX26" s="126" t="str">
        <f ca="1">IF(AND($C26="Goal",AX$7&gt;=$F26,AX$7&lt;=$F26+$G26-1),2,IF(AND($C26="Milestone",AX$7&gt;=$F26,AX$7&lt;=$F26+$G26-1),1,""))</f>
        <v/>
      </c>
      <c r="AY26" s="126" t="str">
        <f ca="1">IF(AND($C26="Goal",AY$7&gt;=$F26,AY$7&lt;=$F26+$G26-1),2,IF(AND($C26="Milestone",AY$7&gt;=$F26,AY$7&lt;=$F26+$G26-1),1,""))</f>
        <v/>
      </c>
      <c r="AZ26" s="126" t="str">
        <f ca="1">IF(AND($C26="Goal",AZ$7&gt;=$F26,AZ$7&lt;=$F26+$G26-1),2,IF(AND($C26="Milestone",AZ$7&gt;=$F26,AZ$7&lt;=$F26+$G26-1),1,""))</f>
        <v/>
      </c>
      <c r="BA26" s="126" t="str">
        <f ca="1">IF(AND($C26="Goal",BA$7&gt;=$F26,BA$7&lt;=$F26+$G26-1),2,IF(AND($C26="Milestone",BA$7&gt;=$F26,BA$7&lt;=$F26+$G26-1),1,""))</f>
        <v/>
      </c>
      <c r="BB26" s="126" t="str">
        <f ca="1">IF(AND($C26="Goal",BB$7&gt;=$F26,BB$7&lt;=$F26+$G26-1),2,IF(AND($C26="Milestone",BB$7&gt;=$F26,BB$7&lt;=$F26+$G26-1),1,""))</f>
        <v/>
      </c>
      <c r="BC26" s="126" t="str">
        <f ca="1">IF(AND($C26="Goal",BC$7&gt;=$F26,BC$7&lt;=$F26+$G26-1),2,IF(AND($C26="Milestone",BC$7&gt;=$F26,BC$7&lt;=$F26+$G26-1),1,""))</f>
        <v/>
      </c>
      <c r="BD26" s="126" t="str">
        <f ca="1">IF(AND($C26="Goal",BD$7&gt;=$F26,BD$7&lt;=$F26+$G26-1),2,IF(AND($C26="Milestone",BD$7&gt;=$F26,BD$7&lt;=$F26+$G26-1),1,""))</f>
        <v/>
      </c>
      <c r="BE26" s="126" t="str">
        <f ca="1">IF(AND($C26="Goal",BE$7&gt;=$F26,BE$7&lt;=$F26+$G26-1),2,IF(AND($C26="Milestone",BE$7&gt;=$F26,BE$7&lt;=$F26+$G26-1),1,""))</f>
        <v/>
      </c>
      <c r="BF26" s="126" t="str">
        <f ca="1">IF(AND($C26="Goal",BF$7&gt;=$F26,BF$7&lt;=$F26+$G26-1),2,IF(AND($C26="Milestone",BF$7&gt;=$F26,BF$7&lt;=$F26+$G26-1),1,""))</f>
        <v/>
      </c>
      <c r="BG26" s="126" t="str">
        <f ca="1">IF(AND($C26="Goal",BG$7&gt;=$F26,BG$7&lt;=$F26+$G26-1),2,IF(AND($C26="Milestone",BG$7&gt;=$F26,BG$7&lt;=$F26+$G26-1),1,""))</f>
        <v/>
      </c>
      <c r="BH26" s="126" t="str">
        <f ca="1">IF(AND($C26="Goal",BH$7&gt;=$F26,BH$7&lt;=$F26+$G26-1),2,IF(AND($C26="Milestone",BH$7&gt;=$F26,BH$7&lt;=$F26+$G26-1),1,""))</f>
        <v/>
      </c>
      <c r="BI26" s="126" t="str">
        <f ca="1">IF(AND($C26="Goal",BI$7&gt;=$F26,BI$7&lt;=$F26+$G26-1),2,IF(AND($C26="Milestone",BI$7&gt;=$F26,BI$7&lt;=$F26+$G26-1),1,""))</f>
        <v/>
      </c>
      <c r="BJ26" s="126" t="str">
        <f ca="1">IF(AND($C26="Goal",BJ$7&gt;=$F26,BJ$7&lt;=$F26+$G26-1),2,IF(AND($C26="Milestone",BJ$7&gt;=$F26,BJ$7&lt;=$F26+$G26-1),1,""))</f>
        <v/>
      </c>
      <c r="BK26" s="126" t="str">
        <f ca="1">IF(AND($C26="Goal",BK$7&gt;=$F26,BK$7&lt;=$F26+$G26-1),2,IF(AND($C26="Milestone",BK$7&gt;=$F26,BK$7&lt;=$F26+$G26-1),1,""))</f>
        <v/>
      </c>
      <c r="BL26" s="126" t="str">
        <f ca="1">IF(AND($C26="Goal",BL$7&gt;=$F26,BL$7&lt;=$F26+$G26-1),2,IF(AND($C26="Milestone",BL$7&gt;=$F26,BL$7&lt;=$F26+$G26-1),1,""))</f>
        <v/>
      </c>
      <c r="BM26" s="27"/>
    </row>
    <row r="27" spans="1:65" s="1" customFormat="1" ht="40" customHeight="1" x14ac:dyDescent="0.35">
      <c r="A27" s="9"/>
      <c r="B27" s="25" t="s">
        <v>83</v>
      </c>
      <c r="C27" s="21"/>
      <c r="D27" s="21" t="s">
        <v>94</v>
      </c>
      <c r="E27" s="22">
        <v>0</v>
      </c>
      <c r="F27" s="23">
        <f>F26 +7</f>
        <v>46311</v>
      </c>
      <c r="G27" s="24">
        <v>3</v>
      </c>
      <c r="H27" s="19"/>
      <c r="I27" s="125" t="str">
        <f ca="1">IF(AND($C27="Goal",I$7&gt;=$F27,I$7&lt;=$F27+$G27-1),2,IF(AND($C27="Milestone",I$7&gt;=$F27,I$7&lt;=$F27+$G27-1),1,""))</f>
        <v/>
      </c>
      <c r="J27" s="126" t="str">
        <f ca="1">IF(AND($C27="Goal",J$7&gt;=$F27,J$7&lt;=$F27+$G27-1),2,IF(AND($C27="Milestone",J$7&gt;=$F27,J$7&lt;=$F27+$G27-1),1,""))</f>
        <v/>
      </c>
      <c r="K27" s="126" t="str">
        <f ca="1">IF(AND($C27="Goal",K$7&gt;=$F27,K$7&lt;=$F27+$G27-1),2,IF(AND($C27="Milestone",K$7&gt;=$F27,K$7&lt;=$F27+$G27-1),1,""))</f>
        <v/>
      </c>
      <c r="L27" s="126" t="str">
        <f ca="1">IF(AND($C27="Goal",L$7&gt;=$F27,L$7&lt;=$F27+$G27-1),2,IF(AND($C27="Milestone",L$7&gt;=$F27,L$7&lt;=$F27+$G27-1),1,""))</f>
        <v/>
      </c>
      <c r="M27" s="126" t="str">
        <f ca="1">IF(AND($C27="Goal",M$7&gt;=$F27,M$7&lt;=$F27+$G27-1),2,IF(AND($C27="Milestone",M$7&gt;=$F27,M$7&lt;=$F27+$G27-1),1,""))</f>
        <v/>
      </c>
      <c r="N27" s="126" t="str">
        <f ca="1">IF(AND($C27="Goal",N$7&gt;=$F27,N$7&lt;=$F27+$G27-1),2,IF(AND($C27="Milestone",N$7&gt;=$F27,N$7&lt;=$F27+$G27-1),1,""))</f>
        <v/>
      </c>
      <c r="O27" s="126" t="str">
        <f ca="1">IF(AND($C27="Goal",O$7&gt;=$F27,O$7&lt;=$F27+$G27-1),2,IF(AND($C27="Milestone",O$7&gt;=$F27,O$7&lt;=$F27+$G27-1),1,""))</f>
        <v/>
      </c>
      <c r="P27" s="126" t="str">
        <f ca="1">IF(AND($C27="Goal",P$7&gt;=$F27,P$7&lt;=$F27+$G27-1),2,IF(AND($C27="Milestone",P$7&gt;=$F27,P$7&lt;=$F27+$G27-1),1,""))</f>
        <v/>
      </c>
      <c r="Q27" s="126" t="str">
        <f ca="1">IF(AND($C27="Goal",Q$7&gt;=$F27,Q$7&lt;=$F27+$G27-1),2,IF(AND($C27="Milestone",Q$7&gt;=$F27,Q$7&lt;=$F27+$G27-1),1,""))</f>
        <v/>
      </c>
      <c r="R27" s="126" t="str">
        <f ca="1">IF(AND($C27="Goal",R$7&gt;=$F27,R$7&lt;=$F27+$G27-1),2,IF(AND($C27="Milestone",R$7&gt;=$F27,R$7&lt;=$F27+$G27-1),1,""))</f>
        <v/>
      </c>
      <c r="S27" s="126" t="str">
        <f ca="1">IF(AND($C27="Goal",S$7&gt;=$F27,S$7&lt;=$F27+$G27-1),2,IF(AND($C27="Milestone",S$7&gt;=$F27,S$7&lt;=$F27+$G27-1),1,""))</f>
        <v/>
      </c>
      <c r="T27" s="126" t="str">
        <f ca="1">IF(AND($C27="Goal",T$7&gt;=$F27,T$7&lt;=$F27+$G27-1),2,IF(AND($C27="Milestone",T$7&gt;=$F27,T$7&lt;=$F27+$G27-1),1,""))</f>
        <v/>
      </c>
      <c r="U27" s="126" t="str">
        <f ca="1">IF(AND($C27="Goal",U$7&gt;=$F27,U$7&lt;=$F27+$G27-1),2,IF(AND($C27="Milestone",U$7&gt;=$F27,U$7&lt;=$F27+$G27-1),1,""))</f>
        <v/>
      </c>
      <c r="V27" s="126" t="str">
        <f ca="1">IF(AND($C27="Goal",V$7&gt;=$F27,V$7&lt;=$F27+$G27-1),2,IF(AND($C27="Milestone",V$7&gt;=$F27,V$7&lt;=$F27+$G27-1),1,""))</f>
        <v/>
      </c>
      <c r="W27" s="126" t="str">
        <f ca="1">IF(AND($C27="Goal",W$7&gt;=$F27,W$7&lt;=$F27+$G27-1),2,IF(AND($C27="Milestone",W$7&gt;=$F27,W$7&lt;=$F27+$G27-1),1,""))</f>
        <v/>
      </c>
      <c r="X27" s="126" t="str">
        <f ca="1">IF(AND($C27="Goal",X$7&gt;=$F27,X$7&lt;=$F27+$G27-1),2,IF(AND($C27="Milestone",X$7&gt;=$F27,X$7&lt;=$F27+$G27-1),1,""))</f>
        <v/>
      </c>
      <c r="Y27" s="126" t="str">
        <f ca="1">IF(AND($C27="Goal",Y$7&gt;=$F27,Y$7&lt;=$F27+$G27-1),2,IF(AND($C27="Milestone",Y$7&gt;=$F27,Y$7&lt;=$F27+$G27-1),1,""))</f>
        <v/>
      </c>
      <c r="Z27" s="126" t="str">
        <f ca="1">IF(AND($C27="Goal",Z$7&gt;=$F27,Z$7&lt;=$F27+$G27-1),2,IF(AND($C27="Milestone",Z$7&gt;=$F27,Z$7&lt;=$F27+$G27-1),1,""))</f>
        <v/>
      </c>
      <c r="AA27" s="126" t="str">
        <f ca="1">IF(AND($C27="Goal",AA$7&gt;=$F27,AA$7&lt;=$F27+$G27-1),2,IF(AND($C27="Milestone",AA$7&gt;=$F27,AA$7&lt;=$F27+$G27-1),1,""))</f>
        <v/>
      </c>
      <c r="AB27" s="126" t="str">
        <f ca="1">IF(AND($C27="Goal",AB$7&gt;=$F27,AB$7&lt;=$F27+$G27-1),2,IF(AND($C27="Milestone",AB$7&gt;=$F27,AB$7&lt;=$F27+$G27-1),1,""))</f>
        <v/>
      </c>
      <c r="AC27" s="126" t="str">
        <f ca="1">IF(AND($C27="Goal",AC$7&gt;=$F27,AC$7&lt;=$F27+$G27-1),2,IF(AND($C27="Milestone",AC$7&gt;=$F27,AC$7&lt;=$F27+$G27-1),1,""))</f>
        <v/>
      </c>
      <c r="AD27" s="126" t="str">
        <f ca="1">IF(AND($C27="Goal",AD$7&gt;=$F27,AD$7&lt;=$F27+$G27-1),2,IF(AND($C27="Milestone",AD$7&gt;=$F27,AD$7&lt;=$F27+$G27-1),1,""))</f>
        <v/>
      </c>
      <c r="AE27" s="126" t="str">
        <f ca="1">IF(AND($C27="Goal",AE$7&gt;=$F27,AE$7&lt;=$F27+$G27-1),2,IF(AND($C27="Milestone",AE$7&gt;=$F27,AE$7&lt;=$F27+$G27-1),1,""))</f>
        <v/>
      </c>
      <c r="AF27" s="126" t="str">
        <f ca="1">IF(AND($C27="Goal",AF$7&gt;=$F27,AF$7&lt;=$F27+$G27-1),2,IF(AND($C27="Milestone",AF$7&gt;=$F27,AF$7&lt;=$F27+$G27-1),1,""))</f>
        <v/>
      </c>
      <c r="AG27" s="126" t="str">
        <f ca="1">IF(AND($C27="Goal",AG$7&gt;=$F27,AG$7&lt;=$F27+$G27-1),2,IF(AND($C27="Milestone",AG$7&gt;=$F27,AG$7&lt;=$F27+$G27-1),1,""))</f>
        <v/>
      </c>
      <c r="AH27" s="126" t="str">
        <f ca="1">IF(AND($C27="Goal",AH$7&gt;=$F27,AH$7&lt;=$F27+$G27-1),2,IF(AND($C27="Milestone",AH$7&gt;=$F27,AH$7&lt;=$F27+$G27-1),1,""))</f>
        <v/>
      </c>
      <c r="AI27" s="126" t="str">
        <f ca="1">IF(AND($C27="Goal",AI$7&gt;=$F27,AI$7&lt;=$F27+$G27-1),2,IF(AND($C27="Milestone",AI$7&gt;=$F27,AI$7&lt;=$F27+$G27-1),1,""))</f>
        <v/>
      </c>
      <c r="AJ27" s="126" t="str">
        <f ca="1">IF(AND($C27="Goal",AJ$7&gt;=$F27,AJ$7&lt;=$F27+$G27-1),2,IF(AND($C27="Milestone",AJ$7&gt;=$F27,AJ$7&lt;=$F27+$G27-1),1,""))</f>
        <v/>
      </c>
      <c r="AK27" s="126" t="str">
        <f ca="1">IF(AND($C27="Goal",AK$7&gt;=$F27,AK$7&lt;=$F27+$G27-1),2,IF(AND($C27="Milestone",AK$7&gt;=$F27,AK$7&lt;=$F27+$G27-1),1,""))</f>
        <v/>
      </c>
      <c r="AL27" s="126" t="str">
        <f ca="1">IF(AND($C27="Goal",AL$7&gt;=$F27,AL$7&lt;=$F27+$G27-1),2,IF(AND($C27="Milestone",AL$7&gt;=$F27,AL$7&lt;=$F27+$G27-1),1,""))</f>
        <v/>
      </c>
      <c r="AM27" s="126" t="str">
        <f ca="1">IF(AND($C27="Goal",AM$7&gt;=$F27,AM$7&lt;=$F27+$G27-1),2,IF(AND($C27="Milestone",AM$7&gt;=$F27,AM$7&lt;=$F27+$G27-1),1,""))</f>
        <v/>
      </c>
      <c r="AN27" s="126" t="str">
        <f ca="1">IF(AND($C27="Goal",AN$7&gt;=$F27,AN$7&lt;=$F27+$G27-1),2,IF(AND($C27="Milestone",AN$7&gt;=$F27,AN$7&lt;=$F27+$G27-1),1,""))</f>
        <v/>
      </c>
      <c r="AO27" s="126" t="str">
        <f ca="1">IF(AND($C27="Goal",AO$7&gt;=$F27,AO$7&lt;=$F27+$G27-1),2,IF(AND($C27="Milestone",AO$7&gt;=$F27,AO$7&lt;=$F27+$G27-1),1,""))</f>
        <v/>
      </c>
      <c r="AP27" s="126" t="str">
        <f ca="1">IF(AND($C27="Goal",AP$7&gt;=$F27,AP$7&lt;=$F27+$G27-1),2,IF(AND($C27="Milestone",AP$7&gt;=$F27,AP$7&lt;=$F27+$G27-1),1,""))</f>
        <v/>
      </c>
      <c r="AQ27" s="126" t="str">
        <f ca="1">IF(AND($C27="Goal",AQ$7&gt;=$F27,AQ$7&lt;=$F27+$G27-1),2,IF(AND($C27="Milestone",AQ$7&gt;=$F27,AQ$7&lt;=$F27+$G27-1),1,""))</f>
        <v/>
      </c>
      <c r="AR27" s="126" t="str">
        <f ca="1">IF(AND($C27="Goal",AR$7&gt;=$F27,AR$7&lt;=$F27+$G27-1),2,IF(AND($C27="Milestone",AR$7&gt;=$F27,AR$7&lt;=$F27+$G27-1),1,""))</f>
        <v/>
      </c>
      <c r="AS27" s="126" t="str">
        <f ca="1">IF(AND($C27="Goal",AS$7&gt;=$F27,AS$7&lt;=$F27+$G27-1),2,IF(AND($C27="Milestone",AS$7&gt;=$F27,AS$7&lt;=$F27+$G27-1),1,""))</f>
        <v/>
      </c>
      <c r="AT27" s="126" t="str">
        <f ca="1">IF(AND($C27="Goal",AT$7&gt;=$F27,AT$7&lt;=$F27+$G27-1),2,IF(AND($C27="Milestone",AT$7&gt;=$F27,AT$7&lt;=$F27+$G27-1),1,""))</f>
        <v/>
      </c>
      <c r="AU27" s="126" t="str">
        <f ca="1">IF(AND($C27="Goal",AU$7&gt;=$F27,AU$7&lt;=$F27+$G27-1),2,IF(AND($C27="Milestone",AU$7&gt;=$F27,AU$7&lt;=$F27+$G27-1),1,""))</f>
        <v/>
      </c>
      <c r="AV27" s="126" t="str">
        <f ca="1">IF(AND($C27="Goal",AV$7&gt;=$F27,AV$7&lt;=$F27+$G27-1),2,IF(AND($C27="Milestone",AV$7&gt;=$F27,AV$7&lt;=$F27+$G27-1),1,""))</f>
        <v/>
      </c>
      <c r="AW27" s="126" t="str">
        <f ca="1">IF(AND($C27="Goal",AW$7&gt;=$F27,AW$7&lt;=$F27+$G27-1),2,IF(AND($C27="Milestone",AW$7&gt;=$F27,AW$7&lt;=$F27+$G27-1),1,""))</f>
        <v/>
      </c>
      <c r="AX27" s="126" t="str">
        <f ca="1">IF(AND($C27="Goal",AX$7&gt;=$F27,AX$7&lt;=$F27+$G27-1),2,IF(AND($C27="Milestone",AX$7&gt;=$F27,AX$7&lt;=$F27+$G27-1),1,""))</f>
        <v/>
      </c>
      <c r="AY27" s="126" t="str">
        <f ca="1">IF(AND($C27="Goal",AY$7&gt;=$F27,AY$7&lt;=$F27+$G27-1),2,IF(AND($C27="Milestone",AY$7&gt;=$F27,AY$7&lt;=$F27+$G27-1),1,""))</f>
        <v/>
      </c>
      <c r="AZ27" s="126" t="str">
        <f ca="1">IF(AND($C27="Goal",AZ$7&gt;=$F27,AZ$7&lt;=$F27+$G27-1),2,IF(AND($C27="Milestone",AZ$7&gt;=$F27,AZ$7&lt;=$F27+$G27-1),1,""))</f>
        <v/>
      </c>
      <c r="BA27" s="126" t="str">
        <f ca="1">IF(AND($C27="Goal",BA$7&gt;=$F27,BA$7&lt;=$F27+$G27-1),2,IF(AND($C27="Milestone",BA$7&gt;=$F27,BA$7&lt;=$F27+$G27-1),1,""))</f>
        <v/>
      </c>
      <c r="BB27" s="126" t="str">
        <f ca="1">IF(AND($C27="Goal",BB$7&gt;=$F27,BB$7&lt;=$F27+$G27-1),2,IF(AND($C27="Milestone",BB$7&gt;=$F27,BB$7&lt;=$F27+$G27-1),1,""))</f>
        <v/>
      </c>
      <c r="BC27" s="126" t="str">
        <f ca="1">IF(AND($C27="Goal",BC$7&gt;=$F27,BC$7&lt;=$F27+$G27-1),2,IF(AND($C27="Milestone",BC$7&gt;=$F27,BC$7&lt;=$F27+$G27-1),1,""))</f>
        <v/>
      </c>
      <c r="BD27" s="126" t="str">
        <f ca="1">IF(AND($C27="Goal",BD$7&gt;=$F27,BD$7&lt;=$F27+$G27-1),2,IF(AND($C27="Milestone",BD$7&gt;=$F27,BD$7&lt;=$F27+$G27-1),1,""))</f>
        <v/>
      </c>
      <c r="BE27" s="126" t="str">
        <f ca="1">IF(AND($C27="Goal",BE$7&gt;=$F27,BE$7&lt;=$F27+$G27-1),2,IF(AND($C27="Milestone",BE$7&gt;=$F27,BE$7&lt;=$F27+$G27-1),1,""))</f>
        <v/>
      </c>
      <c r="BF27" s="126" t="str">
        <f ca="1">IF(AND($C27="Goal",BF$7&gt;=$F27,BF$7&lt;=$F27+$G27-1),2,IF(AND($C27="Milestone",BF$7&gt;=$F27,BF$7&lt;=$F27+$G27-1),1,""))</f>
        <v/>
      </c>
      <c r="BG27" s="126" t="str">
        <f ca="1">IF(AND($C27="Goal",BG$7&gt;=$F27,BG$7&lt;=$F27+$G27-1),2,IF(AND($C27="Milestone",BG$7&gt;=$F27,BG$7&lt;=$F27+$G27-1),1,""))</f>
        <v/>
      </c>
      <c r="BH27" s="126" t="str">
        <f ca="1">IF(AND($C27="Goal",BH$7&gt;=$F27,BH$7&lt;=$F27+$G27-1),2,IF(AND($C27="Milestone",BH$7&gt;=$F27,BH$7&lt;=$F27+$G27-1),1,""))</f>
        <v/>
      </c>
      <c r="BI27" s="126" t="str">
        <f ca="1">IF(AND($C27="Goal",BI$7&gt;=$F27,BI$7&lt;=$F27+$G27-1),2,IF(AND($C27="Milestone",BI$7&gt;=$F27,BI$7&lt;=$F27+$G27-1),1,""))</f>
        <v/>
      </c>
      <c r="BJ27" s="126" t="str">
        <f ca="1">IF(AND($C27="Goal",BJ$7&gt;=$F27,BJ$7&lt;=$F27+$G27-1),2,IF(AND($C27="Milestone",BJ$7&gt;=$F27,BJ$7&lt;=$F27+$G27-1),1,""))</f>
        <v/>
      </c>
      <c r="BK27" s="126" t="str">
        <f ca="1">IF(AND($C27="Goal",BK$7&gt;=$F27,BK$7&lt;=$F27+$G27-1),2,IF(AND($C27="Milestone",BK$7&gt;=$F27,BK$7&lt;=$F27+$G27-1),1,""))</f>
        <v/>
      </c>
      <c r="BL27" s="126" t="str">
        <f ca="1">IF(AND($C27="Goal",BL$7&gt;=$F27,BL$7&lt;=$F27+$G27-1),2,IF(AND($C27="Milestone",BL$7&gt;=$F27,BL$7&lt;=$F27+$G27-1),1,""))</f>
        <v/>
      </c>
      <c r="BM27" s="27"/>
    </row>
    <row r="28" spans="1:65" s="1" customFormat="1" ht="40" customHeight="1" x14ac:dyDescent="0.35">
      <c r="A28" s="9"/>
      <c r="B28" s="25" t="s">
        <v>84</v>
      </c>
      <c r="C28" s="21"/>
      <c r="D28" s="21"/>
      <c r="E28" s="22"/>
      <c r="F28" s="23"/>
      <c r="G28" s="24"/>
      <c r="H28" s="19"/>
      <c r="I28" s="125" t="str">
        <f ca="1">IF(AND($C28="Goal",I$7&gt;=$F28,I$7&lt;=$F28+$G28-1),2,IF(AND($C28="Milestone",I$7&gt;=$F28,I$7&lt;=$F28+$G28-1),1,""))</f>
        <v/>
      </c>
      <c r="J28" s="126" t="str">
        <f ca="1">IF(AND($C28="Goal",J$7&gt;=$F28,J$7&lt;=$F28+$G28-1),2,IF(AND($C28="Milestone",J$7&gt;=$F28,J$7&lt;=$F28+$G28-1),1,""))</f>
        <v/>
      </c>
      <c r="K28" s="126" t="str">
        <f ca="1">IF(AND($C28="Goal",K$7&gt;=$F28,K$7&lt;=$F28+$G28-1),2,IF(AND($C28="Milestone",K$7&gt;=$F28,K$7&lt;=$F28+$G28-1),1,""))</f>
        <v/>
      </c>
      <c r="L28" s="126" t="str">
        <f ca="1">IF(AND($C28="Goal",L$7&gt;=$F28,L$7&lt;=$F28+$G28-1),2,IF(AND($C28="Milestone",L$7&gt;=$F28,L$7&lt;=$F28+$G28-1),1,""))</f>
        <v/>
      </c>
      <c r="M28" s="126" t="str">
        <f ca="1">IF(AND($C28="Goal",M$7&gt;=$F28,M$7&lt;=$F28+$G28-1),2,IF(AND($C28="Milestone",M$7&gt;=$F28,M$7&lt;=$F28+$G28-1),1,""))</f>
        <v/>
      </c>
      <c r="N28" s="126" t="str">
        <f ca="1">IF(AND($C28="Goal",N$7&gt;=$F28,N$7&lt;=$F28+$G28-1),2,IF(AND($C28="Milestone",N$7&gt;=$F28,N$7&lt;=$F28+$G28-1),1,""))</f>
        <v/>
      </c>
      <c r="O28" s="126" t="str">
        <f ca="1">IF(AND($C28="Goal",O$7&gt;=$F28,O$7&lt;=$F28+$G28-1),2,IF(AND($C28="Milestone",O$7&gt;=$F28,O$7&lt;=$F28+$G28-1),1,""))</f>
        <v/>
      </c>
      <c r="P28" s="126" t="str">
        <f ca="1">IF(AND($C28="Goal",P$7&gt;=$F28,P$7&lt;=$F28+$G28-1),2,IF(AND($C28="Milestone",P$7&gt;=$F28,P$7&lt;=$F28+$G28-1),1,""))</f>
        <v/>
      </c>
      <c r="Q28" s="126" t="str">
        <f ca="1">IF(AND($C28="Goal",Q$7&gt;=$F28,Q$7&lt;=$F28+$G28-1),2,IF(AND($C28="Milestone",Q$7&gt;=$F28,Q$7&lt;=$F28+$G28-1),1,""))</f>
        <v/>
      </c>
      <c r="R28" s="126" t="str">
        <f ca="1">IF(AND($C28="Goal",R$7&gt;=$F28,R$7&lt;=$F28+$G28-1),2,IF(AND($C28="Milestone",R$7&gt;=$F28,R$7&lt;=$F28+$G28-1),1,""))</f>
        <v/>
      </c>
      <c r="S28" s="126" t="str">
        <f ca="1">IF(AND($C28="Goal",S$7&gt;=$F28,S$7&lt;=$F28+$G28-1),2,IF(AND($C28="Milestone",S$7&gt;=$F28,S$7&lt;=$F28+$G28-1),1,""))</f>
        <v/>
      </c>
      <c r="T28" s="126" t="str">
        <f ca="1">IF(AND($C28="Goal",T$7&gt;=$F28,T$7&lt;=$F28+$G28-1),2,IF(AND($C28="Milestone",T$7&gt;=$F28,T$7&lt;=$F28+$G28-1),1,""))</f>
        <v/>
      </c>
      <c r="U28" s="126" t="str">
        <f ca="1">IF(AND($C28="Goal",U$7&gt;=$F28,U$7&lt;=$F28+$G28-1),2,IF(AND($C28="Milestone",U$7&gt;=$F28,U$7&lt;=$F28+$G28-1),1,""))</f>
        <v/>
      </c>
      <c r="V28" s="126" t="str">
        <f ca="1">IF(AND($C28="Goal",V$7&gt;=$F28,V$7&lt;=$F28+$G28-1),2,IF(AND($C28="Milestone",V$7&gt;=$F28,V$7&lt;=$F28+$G28-1),1,""))</f>
        <v/>
      </c>
      <c r="W28" s="126" t="str">
        <f ca="1">IF(AND($C28="Goal",W$7&gt;=$F28,W$7&lt;=$F28+$G28-1),2,IF(AND($C28="Milestone",W$7&gt;=$F28,W$7&lt;=$F28+$G28-1),1,""))</f>
        <v/>
      </c>
      <c r="X28" s="126" t="str">
        <f ca="1">IF(AND($C28="Goal",X$7&gt;=$F28,X$7&lt;=$F28+$G28-1),2,IF(AND($C28="Milestone",X$7&gt;=$F28,X$7&lt;=$F28+$G28-1),1,""))</f>
        <v/>
      </c>
      <c r="Y28" s="126" t="str">
        <f ca="1">IF(AND($C28="Goal",Y$7&gt;=$F28,Y$7&lt;=$F28+$G28-1),2,IF(AND($C28="Milestone",Y$7&gt;=$F28,Y$7&lt;=$F28+$G28-1),1,""))</f>
        <v/>
      </c>
      <c r="Z28" s="126" t="str">
        <f ca="1">IF(AND($C28="Goal",Z$7&gt;=$F28,Z$7&lt;=$F28+$G28-1),2,IF(AND($C28="Milestone",Z$7&gt;=$F28,Z$7&lt;=$F28+$G28-1),1,""))</f>
        <v/>
      </c>
      <c r="AA28" s="126" t="str">
        <f ca="1">IF(AND($C28="Goal",AA$7&gt;=$F28,AA$7&lt;=$F28+$G28-1),2,IF(AND($C28="Milestone",AA$7&gt;=$F28,AA$7&lt;=$F28+$G28-1),1,""))</f>
        <v/>
      </c>
      <c r="AB28" s="126" t="str">
        <f ca="1">IF(AND($C28="Goal",AB$7&gt;=$F28,AB$7&lt;=$F28+$G28-1),2,IF(AND($C28="Milestone",AB$7&gt;=$F28,AB$7&lt;=$F28+$G28-1),1,""))</f>
        <v/>
      </c>
      <c r="AC28" s="126" t="str">
        <f ca="1">IF(AND($C28="Goal",AC$7&gt;=$F28,AC$7&lt;=$F28+$G28-1),2,IF(AND($C28="Milestone",AC$7&gt;=$F28,AC$7&lt;=$F28+$G28-1),1,""))</f>
        <v/>
      </c>
      <c r="AD28" s="126" t="str">
        <f ca="1">IF(AND($C28="Goal",AD$7&gt;=$F28,AD$7&lt;=$F28+$G28-1),2,IF(AND($C28="Milestone",AD$7&gt;=$F28,AD$7&lt;=$F28+$G28-1),1,""))</f>
        <v/>
      </c>
      <c r="AE28" s="126" t="str">
        <f ca="1">IF(AND($C28="Goal",AE$7&gt;=$F28,AE$7&lt;=$F28+$G28-1),2,IF(AND($C28="Milestone",AE$7&gt;=$F28,AE$7&lt;=$F28+$G28-1),1,""))</f>
        <v/>
      </c>
      <c r="AF28" s="126" t="str">
        <f ca="1">IF(AND($C28="Goal",AF$7&gt;=$F28,AF$7&lt;=$F28+$G28-1),2,IF(AND($C28="Milestone",AF$7&gt;=$F28,AF$7&lt;=$F28+$G28-1),1,""))</f>
        <v/>
      </c>
      <c r="AG28" s="126" t="str">
        <f ca="1">IF(AND($C28="Goal",AG$7&gt;=$F28,AG$7&lt;=$F28+$G28-1),2,IF(AND($C28="Milestone",AG$7&gt;=$F28,AG$7&lt;=$F28+$G28-1),1,""))</f>
        <v/>
      </c>
      <c r="AH28" s="126" t="str">
        <f ca="1">IF(AND($C28="Goal",AH$7&gt;=$F28,AH$7&lt;=$F28+$G28-1),2,IF(AND($C28="Milestone",AH$7&gt;=$F28,AH$7&lt;=$F28+$G28-1),1,""))</f>
        <v/>
      </c>
      <c r="AI28" s="126" t="str">
        <f ca="1">IF(AND($C28="Goal",AI$7&gt;=$F28,AI$7&lt;=$F28+$G28-1),2,IF(AND($C28="Milestone",AI$7&gt;=$F28,AI$7&lt;=$F28+$G28-1),1,""))</f>
        <v/>
      </c>
      <c r="AJ28" s="126" t="str">
        <f ca="1">IF(AND($C28="Goal",AJ$7&gt;=$F28,AJ$7&lt;=$F28+$G28-1),2,IF(AND($C28="Milestone",AJ$7&gt;=$F28,AJ$7&lt;=$F28+$G28-1),1,""))</f>
        <v/>
      </c>
      <c r="AK28" s="126" t="str">
        <f ca="1">IF(AND($C28="Goal",AK$7&gt;=$F28,AK$7&lt;=$F28+$G28-1),2,IF(AND($C28="Milestone",AK$7&gt;=$F28,AK$7&lt;=$F28+$G28-1),1,""))</f>
        <v/>
      </c>
      <c r="AL28" s="126" t="str">
        <f ca="1">IF(AND($C28="Goal",AL$7&gt;=$F28,AL$7&lt;=$F28+$G28-1),2,IF(AND($C28="Milestone",AL$7&gt;=$F28,AL$7&lt;=$F28+$G28-1),1,""))</f>
        <v/>
      </c>
      <c r="AM28" s="126" t="str">
        <f ca="1">IF(AND($C28="Goal",AM$7&gt;=$F28,AM$7&lt;=$F28+$G28-1),2,IF(AND($C28="Milestone",AM$7&gt;=$F28,AM$7&lt;=$F28+$G28-1),1,""))</f>
        <v/>
      </c>
      <c r="AN28" s="126" t="str">
        <f ca="1">IF(AND($C28="Goal",AN$7&gt;=$F28,AN$7&lt;=$F28+$G28-1),2,IF(AND($C28="Milestone",AN$7&gt;=$F28,AN$7&lt;=$F28+$G28-1),1,""))</f>
        <v/>
      </c>
      <c r="AO28" s="126" t="str">
        <f ca="1">IF(AND($C28="Goal",AO$7&gt;=$F28,AO$7&lt;=$F28+$G28-1),2,IF(AND($C28="Milestone",AO$7&gt;=$F28,AO$7&lt;=$F28+$G28-1),1,""))</f>
        <v/>
      </c>
      <c r="AP28" s="126" t="str">
        <f ca="1">IF(AND($C28="Goal",AP$7&gt;=$F28,AP$7&lt;=$F28+$G28-1),2,IF(AND($C28="Milestone",AP$7&gt;=$F28,AP$7&lt;=$F28+$G28-1),1,""))</f>
        <v/>
      </c>
      <c r="AQ28" s="126" t="str">
        <f ca="1">IF(AND($C28="Goal",AQ$7&gt;=$F28,AQ$7&lt;=$F28+$G28-1),2,IF(AND($C28="Milestone",AQ$7&gt;=$F28,AQ$7&lt;=$F28+$G28-1),1,""))</f>
        <v/>
      </c>
      <c r="AR28" s="126" t="str">
        <f ca="1">IF(AND($C28="Goal",AR$7&gt;=$F28,AR$7&lt;=$F28+$G28-1),2,IF(AND($C28="Milestone",AR$7&gt;=$F28,AR$7&lt;=$F28+$G28-1),1,""))</f>
        <v/>
      </c>
      <c r="AS28" s="126" t="str">
        <f ca="1">IF(AND($C28="Goal",AS$7&gt;=$F28,AS$7&lt;=$F28+$G28-1),2,IF(AND($C28="Milestone",AS$7&gt;=$F28,AS$7&lt;=$F28+$G28-1),1,""))</f>
        <v/>
      </c>
      <c r="AT28" s="126" t="str">
        <f ca="1">IF(AND($C28="Goal",AT$7&gt;=$F28,AT$7&lt;=$F28+$G28-1),2,IF(AND($C28="Milestone",AT$7&gt;=$F28,AT$7&lt;=$F28+$G28-1),1,""))</f>
        <v/>
      </c>
      <c r="AU28" s="126" t="str">
        <f ca="1">IF(AND($C28="Goal",AU$7&gt;=$F28,AU$7&lt;=$F28+$G28-1),2,IF(AND($C28="Milestone",AU$7&gt;=$F28,AU$7&lt;=$F28+$G28-1),1,""))</f>
        <v/>
      </c>
      <c r="AV28" s="126" t="str">
        <f ca="1">IF(AND($C28="Goal",AV$7&gt;=$F28,AV$7&lt;=$F28+$G28-1),2,IF(AND($C28="Milestone",AV$7&gt;=$F28,AV$7&lt;=$F28+$G28-1),1,""))</f>
        <v/>
      </c>
      <c r="AW28" s="126" t="str">
        <f ca="1">IF(AND($C28="Goal",AW$7&gt;=$F28,AW$7&lt;=$F28+$G28-1),2,IF(AND($C28="Milestone",AW$7&gt;=$F28,AW$7&lt;=$F28+$G28-1),1,""))</f>
        <v/>
      </c>
      <c r="AX28" s="126" t="str">
        <f ca="1">IF(AND($C28="Goal",AX$7&gt;=$F28,AX$7&lt;=$F28+$G28-1),2,IF(AND($C28="Milestone",AX$7&gt;=$F28,AX$7&lt;=$F28+$G28-1),1,""))</f>
        <v/>
      </c>
      <c r="AY28" s="126" t="str">
        <f ca="1">IF(AND($C28="Goal",AY$7&gt;=$F28,AY$7&lt;=$F28+$G28-1),2,IF(AND($C28="Milestone",AY$7&gt;=$F28,AY$7&lt;=$F28+$G28-1),1,""))</f>
        <v/>
      </c>
      <c r="AZ28" s="126" t="str">
        <f ca="1">IF(AND($C28="Goal",AZ$7&gt;=$F28,AZ$7&lt;=$F28+$G28-1),2,IF(AND($C28="Milestone",AZ$7&gt;=$F28,AZ$7&lt;=$F28+$G28-1),1,""))</f>
        <v/>
      </c>
      <c r="BA28" s="126" t="str">
        <f ca="1">IF(AND($C28="Goal",BA$7&gt;=$F28,BA$7&lt;=$F28+$G28-1),2,IF(AND($C28="Milestone",BA$7&gt;=$F28,BA$7&lt;=$F28+$G28-1),1,""))</f>
        <v/>
      </c>
      <c r="BB28" s="126" t="str">
        <f ca="1">IF(AND($C28="Goal",BB$7&gt;=$F28,BB$7&lt;=$F28+$G28-1),2,IF(AND($C28="Milestone",BB$7&gt;=$F28,BB$7&lt;=$F28+$G28-1),1,""))</f>
        <v/>
      </c>
      <c r="BC28" s="126" t="str">
        <f ca="1">IF(AND($C28="Goal",BC$7&gt;=$F28,BC$7&lt;=$F28+$G28-1),2,IF(AND($C28="Milestone",BC$7&gt;=$F28,BC$7&lt;=$F28+$G28-1),1,""))</f>
        <v/>
      </c>
      <c r="BD28" s="126" t="str">
        <f ca="1">IF(AND($C28="Goal",BD$7&gt;=$F28,BD$7&lt;=$F28+$G28-1),2,IF(AND($C28="Milestone",BD$7&gt;=$F28,BD$7&lt;=$F28+$G28-1),1,""))</f>
        <v/>
      </c>
      <c r="BE28" s="126" t="str">
        <f ca="1">IF(AND($C28="Goal",BE$7&gt;=$F28,BE$7&lt;=$F28+$G28-1),2,IF(AND($C28="Milestone",BE$7&gt;=$F28,BE$7&lt;=$F28+$G28-1),1,""))</f>
        <v/>
      </c>
      <c r="BF28" s="126" t="str">
        <f ca="1">IF(AND($C28="Goal",BF$7&gt;=$F28,BF$7&lt;=$F28+$G28-1),2,IF(AND($C28="Milestone",BF$7&gt;=$F28,BF$7&lt;=$F28+$G28-1),1,""))</f>
        <v/>
      </c>
      <c r="BG28" s="126" t="str">
        <f ca="1">IF(AND($C28="Goal",BG$7&gt;=$F28,BG$7&lt;=$F28+$G28-1),2,IF(AND($C28="Milestone",BG$7&gt;=$F28,BG$7&lt;=$F28+$G28-1),1,""))</f>
        <v/>
      </c>
      <c r="BH28" s="126" t="str">
        <f ca="1">IF(AND($C28="Goal",BH$7&gt;=$F28,BH$7&lt;=$F28+$G28-1),2,IF(AND($C28="Milestone",BH$7&gt;=$F28,BH$7&lt;=$F28+$G28-1),1,""))</f>
        <v/>
      </c>
      <c r="BI28" s="126" t="str">
        <f ca="1">IF(AND($C28="Goal",BI$7&gt;=$F28,BI$7&lt;=$F28+$G28-1),2,IF(AND($C28="Milestone",BI$7&gt;=$F28,BI$7&lt;=$F28+$G28-1),1,""))</f>
        <v/>
      </c>
      <c r="BJ28" s="126" t="str">
        <f ca="1">IF(AND($C28="Goal",BJ$7&gt;=$F28,BJ$7&lt;=$F28+$G28-1),2,IF(AND($C28="Milestone",BJ$7&gt;=$F28,BJ$7&lt;=$F28+$G28-1),1,""))</f>
        <v/>
      </c>
      <c r="BK28" s="126" t="str">
        <f ca="1">IF(AND($C28="Goal",BK$7&gt;=$F28,BK$7&lt;=$F28+$G28-1),2,IF(AND($C28="Milestone",BK$7&gt;=$F28,BK$7&lt;=$F28+$G28-1),1,""))</f>
        <v/>
      </c>
      <c r="BL28" s="126" t="str">
        <f ca="1">IF(AND($C28="Goal",BL$7&gt;=$F28,BL$7&lt;=$F28+$G28-1),2,IF(AND($C28="Milestone",BL$7&gt;=$F28,BL$7&lt;=$F28+$G28-1),1,""))</f>
        <v/>
      </c>
      <c r="BM28" s="27"/>
    </row>
    <row r="29" spans="1:65" s="1" customFormat="1" ht="40" customHeight="1" x14ac:dyDescent="0.35">
      <c r="A29" s="9"/>
      <c r="B29" s="25" t="s">
        <v>85</v>
      </c>
      <c r="C29" s="21"/>
      <c r="D29" s="21"/>
      <c r="E29" s="22"/>
      <c r="F29" s="23"/>
      <c r="G29" s="24"/>
      <c r="H29" s="19"/>
      <c r="I29" s="125" t="str">
        <f ca="1">IF(AND($C29="Goal",I$7&gt;=$F29,I$7&lt;=$F29+$G29-1),2,IF(AND($C29="Milestone",I$7&gt;=$F29,I$7&lt;=$F29+$G29-1),1,""))</f>
        <v/>
      </c>
      <c r="J29" s="126" t="str">
        <f ca="1">IF(AND($C29="Goal",J$7&gt;=$F29,J$7&lt;=$F29+$G29-1),2,IF(AND($C29="Milestone",J$7&gt;=$F29,J$7&lt;=$F29+$G29-1),1,""))</f>
        <v/>
      </c>
      <c r="K29" s="126" t="str">
        <f ca="1">IF(AND($C29="Goal",K$7&gt;=$F29,K$7&lt;=$F29+$G29-1),2,IF(AND($C29="Milestone",K$7&gt;=$F29,K$7&lt;=$F29+$G29-1),1,""))</f>
        <v/>
      </c>
      <c r="L29" s="126" t="str">
        <f ca="1">IF(AND($C29="Goal",L$7&gt;=$F29,L$7&lt;=$F29+$G29-1),2,IF(AND($C29="Milestone",L$7&gt;=$F29,L$7&lt;=$F29+$G29-1),1,""))</f>
        <v/>
      </c>
      <c r="M29" s="126" t="str">
        <f ca="1">IF(AND($C29="Goal",M$7&gt;=$F29,M$7&lt;=$F29+$G29-1),2,IF(AND($C29="Milestone",M$7&gt;=$F29,M$7&lt;=$F29+$G29-1),1,""))</f>
        <v/>
      </c>
      <c r="N29" s="126" t="str">
        <f ca="1">IF(AND($C29="Goal",N$7&gt;=$F29,N$7&lt;=$F29+$G29-1),2,IF(AND($C29="Milestone",N$7&gt;=$F29,N$7&lt;=$F29+$G29-1),1,""))</f>
        <v/>
      </c>
      <c r="O29" s="126" t="str">
        <f ca="1">IF(AND($C29="Goal",O$7&gt;=$F29,O$7&lt;=$F29+$G29-1),2,IF(AND($C29="Milestone",O$7&gt;=$F29,O$7&lt;=$F29+$G29-1),1,""))</f>
        <v/>
      </c>
      <c r="P29" s="126" t="str">
        <f ca="1">IF(AND($C29="Goal",P$7&gt;=$F29,P$7&lt;=$F29+$G29-1),2,IF(AND($C29="Milestone",P$7&gt;=$F29,P$7&lt;=$F29+$G29-1),1,""))</f>
        <v/>
      </c>
      <c r="Q29" s="126" t="str">
        <f ca="1">IF(AND($C29="Goal",Q$7&gt;=$F29,Q$7&lt;=$F29+$G29-1),2,IF(AND($C29="Milestone",Q$7&gt;=$F29,Q$7&lt;=$F29+$G29-1),1,""))</f>
        <v/>
      </c>
      <c r="R29" s="126" t="str">
        <f ca="1">IF(AND($C29="Goal",R$7&gt;=$F29,R$7&lt;=$F29+$G29-1),2,IF(AND($C29="Milestone",R$7&gt;=$F29,R$7&lt;=$F29+$G29-1),1,""))</f>
        <v/>
      </c>
      <c r="S29" s="126" t="str">
        <f ca="1">IF(AND($C29="Goal",S$7&gt;=$F29,S$7&lt;=$F29+$G29-1),2,IF(AND($C29="Milestone",S$7&gt;=$F29,S$7&lt;=$F29+$G29-1),1,""))</f>
        <v/>
      </c>
      <c r="T29" s="126" t="str">
        <f ca="1">IF(AND($C29="Goal",T$7&gt;=$F29,T$7&lt;=$F29+$G29-1),2,IF(AND($C29="Milestone",T$7&gt;=$F29,T$7&lt;=$F29+$G29-1),1,""))</f>
        <v/>
      </c>
      <c r="U29" s="126" t="str">
        <f ca="1">IF(AND($C29="Goal",U$7&gt;=$F29,U$7&lt;=$F29+$G29-1),2,IF(AND($C29="Milestone",U$7&gt;=$F29,U$7&lt;=$F29+$G29-1),1,""))</f>
        <v/>
      </c>
      <c r="V29" s="126" t="str">
        <f ca="1">IF(AND($C29="Goal",V$7&gt;=$F29,V$7&lt;=$F29+$G29-1),2,IF(AND($C29="Milestone",V$7&gt;=$F29,V$7&lt;=$F29+$G29-1),1,""))</f>
        <v/>
      </c>
      <c r="W29" s="126" t="str">
        <f ca="1">IF(AND($C29="Goal",W$7&gt;=$F29,W$7&lt;=$F29+$G29-1),2,IF(AND($C29="Milestone",W$7&gt;=$F29,W$7&lt;=$F29+$G29-1),1,""))</f>
        <v/>
      </c>
      <c r="X29" s="126" t="str">
        <f ca="1">IF(AND($C29="Goal",X$7&gt;=$F29,X$7&lt;=$F29+$G29-1),2,IF(AND($C29="Milestone",X$7&gt;=$F29,X$7&lt;=$F29+$G29-1),1,""))</f>
        <v/>
      </c>
      <c r="Y29" s="126" t="str">
        <f ca="1">IF(AND($C29="Goal",Y$7&gt;=$F29,Y$7&lt;=$F29+$G29-1),2,IF(AND($C29="Milestone",Y$7&gt;=$F29,Y$7&lt;=$F29+$G29-1),1,""))</f>
        <v/>
      </c>
      <c r="Z29" s="126" t="str">
        <f ca="1">IF(AND($C29="Goal",Z$7&gt;=$F29,Z$7&lt;=$F29+$G29-1),2,IF(AND($C29="Milestone",Z$7&gt;=$F29,Z$7&lt;=$F29+$G29-1),1,""))</f>
        <v/>
      </c>
      <c r="AA29" s="126" t="str">
        <f ca="1">IF(AND($C29="Goal",AA$7&gt;=$F29,AA$7&lt;=$F29+$G29-1),2,IF(AND($C29="Milestone",AA$7&gt;=$F29,AA$7&lt;=$F29+$G29-1),1,""))</f>
        <v/>
      </c>
      <c r="AB29" s="126" t="str">
        <f ca="1">IF(AND($C29="Goal",AB$7&gt;=$F29,AB$7&lt;=$F29+$G29-1),2,IF(AND($C29="Milestone",AB$7&gt;=$F29,AB$7&lt;=$F29+$G29-1),1,""))</f>
        <v/>
      </c>
      <c r="AC29" s="126" t="str">
        <f ca="1">IF(AND($C29="Goal",AC$7&gt;=$F29,AC$7&lt;=$F29+$G29-1),2,IF(AND($C29="Milestone",AC$7&gt;=$F29,AC$7&lt;=$F29+$G29-1),1,""))</f>
        <v/>
      </c>
      <c r="AD29" s="126" t="str">
        <f ca="1">IF(AND($C29="Goal",AD$7&gt;=$F29,AD$7&lt;=$F29+$G29-1),2,IF(AND($C29="Milestone",AD$7&gt;=$F29,AD$7&lt;=$F29+$G29-1),1,""))</f>
        <v/>
      </c>
      <c r="AE29" s="126" t="str">
        <f ca="1">IF(AND($C29="Goal",AE$7&gt;=$F29,AE$7&lt;=$F29+$G29-1),2,IF(AND($C29="Milestone",AE$7&gt;=$F29,AE$7&lt;=$F29+$G29-1),1,""))</f>
        <v/>
      </c>
      <c r="AF29" s="126" t="str">
        <f ca="1">IF(AND($C29="Goal",AF$7&gt;=$F29,AF$7&lt;=$F29+$G29-1),2,IF(AND($C29="Milestone",AF$7&gt;=$F29,AF$7&lt;=$F29+$G29-1),1,""))</f>
        <v/>
      </c>
      <c r="AG29" s="126" t="str">
        <f ca="1">IF(AND($C29="Goal",AG$7&gt;=$F29,AG$7&lt;=$F29+$G29-1),2,IF(AND($C29="Milestone",AG$7&gt;=$F29,AG$7&lt;=$F29+$G29-1),1,""))</f>
        <v/>
      </c>
      <c r="AH29" s="126" t="str">
        <f ca="1">IF(AND($C29="Goal",AH$7&gt;=$F29,AH$7&lt;=$F29+$G29-1),2,IF(AND($C29="Milestone",AH$7&gt;=$F29,AH$7&lt;=$F29+$G29-1),1,""))</f>
        <v/>
      </c>
      <c r="AI29" s="126" t="str">
        <f ca="1">IF(AND($C29="Goal",AI$7&gt;=$F29,AI$7&lt;=$F29+$G29-1),2,IF(AND($C29="Milestone",AI$7&gt;=$F29,AI$7&lt;=$F29+$G29-1),1,""))</f>
        <v/>
      </c>
      <c r="AJ29" s="126" t="str">
        <f ca="1">IF(AND($C29="Goal",AJ$7&gt;=$F29,AJ$7&lt;=$F29+$G29-1),2,IF(AND($C29="Milestone",AJ$7&gt;=$F29,AJ$7&lt;=$F29+$G29-1),1,""))</f>
        <v/>
      </c>
      <c r="AK29" s="126" t="str">
        <f ca="1">IF(AND($C29="Goal",AK$7&gt;=$F29,AK$7&lt;=$F29+$G29-1),2,IF(AND($C29="Milestone",AK$7&gt;=$F29,AK$7&lt;=$F29+$G29-1),1,""))</f>
        <v/>
      </c>
      <c r="AL29" s="126" t="str">
        <f ca="1">IF(AND($C29="Goal",AL$7&gt;=$F29,AL$7&lt;=$F29+$G29-1),2,IF(AND($C29="Milestone",AL$7&gt;=$F29,AL$7&lt;=$F29+$G29-1),1,""))</f>
        <v/>
      </c>
      <c r="AM29" s="126" t="str">
        <f ca="1">IF(AND($C29="Goal",AM$7&gt;=$F29,AM$7&lt;=$F29+$G29-1),2,IF(AND($C29="Milestone",AM$7&gt;=$F29,AM$7&lt;=$F29+$G29-1),1,""))</f>
        <v/>
      </c>
      <c r="AN29" s="126" t="str">
        <f ca="1">IF(AND($C29="Goal",AN$7&gt;=$F29,AN$7&lt;=$F29+$G29-1),2,IF(AND($C29="Milestone",AN$7&gt;=$F29,AN$7&lt;=$F29+$G29-1),1,""))</f>
        <v/>
      </c>
      <c r="AO29" s="126" t="str">
        <f ca="1">IF(AND($C29="Goal",AO$7&gt;=$F29,AO$7&lt;=$F29+$G29-1),2,IF(AND($C29="Milestone",AO$7&gt;=$F29,AO$7&lt;=$F29+$G29-1),1,""))</f>
        <v/>
      </c>
      <c r="AP29" s="126" t="str">
        <f ca="1">IF(AND($C29="Goal",AP$7&gt;=$F29,AP$7&lt;=$F29+$G29-1),2,IF(AND($C29="Milestone",AP$7&gt;=$F29,AP$7&lt;=$F29+$G29-1),1,""))</f>
        <v/>
      </c>
      <c r="AQ29" s="126" t="str">
        <f ca="1">IF(AND($C29="Goal",AQ$7&gt;=$F29,AQ$7&lt;=$F29+$G29-1),2,IF(AND($C29="Milestone",AQ$7&gt;=$F29,AQ$7&lt;=$F29+$G29-1),1,""))</f>
        <v/>
      </c>
      <c r="AR29" s="126" t="str">
        <f ca="1">IF(AND($C29="Goal",AR$7&gt;=$F29,AR$7&lt;=$F29+$G29-1),2,IF(AND($C29="Milestone",AR$7&gt;=$F29,AR$7&lt;=$F29+$G29-1),1,""))</f>
        <v/>
      </c>
      <c r="AS29" s="126" t="str">
        <f ca="1">IF(AND($C29="Goal",AS$7&gt;=$F29,AS$7&lt;=$F29+$G29-1),2,IF(AND($C29="Milestone",AS$7&gt;=$F29,AS$7&lt;=$F29+$G29-1),1,""))</f>
        <v/>
      </c>
      <c r="AT29" s="126" t="str">
        <f ca="1">IF(AND($C29="Goal",AT$7&gt;=$F29,AT$7&lt;=$F29+$G29-1),2,IF(AND($C29="Milestone",AT$7&gt;=$F29,AT$7&lt;=$F29+$G29-1),1,""))</f>
        <v/>
      </c>
      <c r="AU29" s="126" t="str">
        <f ca="1">IF(AND($C29="Goal",AU$7&gt;=$F29,AU$7&lt;=$F29+$G29-1),2,IF(AND($C29="Milestone",AU$7&gt;=$F29,AU$7&lt;=$F29+$G29-1),1,""))</f>
        <v/>
      </c>
      <c r="AV29" s="126" t="str">
        <f ca="1">IF(AND($C29="Goal",AV$7&gt;=$F29,AV$7&lt;=$F29+$G29-1),2,IF(AND($C29="Milestone",AV$7&gt;=$F29,AV$7&lt;=$F29+$G29-1),1,""))</f>
        <v/>
      </c>
      <c r="AW29" s="126" t="str">
        <f ca="1">IF(AND($C29="Goal",AW$7&gt;=$F29,AW$7&lt;=$F29+$G29-1),2,IF(AND($C29="Milestone",AW$7&gt;=$F29,AW$7&lt;=$F29+$G29-1),1,""))</f>
        <v/>
      </c>
      <c r="AX29" s="126" t="str">
        <f ca="1">IF(AND($C29="Goal",AX$7&gt;=$F29,AX$7&lt;=$F29+$G29-1),2,IF(AND($C29="Milestone",AX$7&gt;=$F29,AX$7&lt;=$F29+$G29-1),1,""))</f>
        <v/>
      </c>
      <c r="AY29" s="126" t="str">
        <f ca="1">IF(AND($C29="Goal",AY$7&gt;=$F29,AY$7&lt;=$F29+$G29-1),2,IF(AND($C29="Milestone",AY$7&gt;=$F29,AY$7&lt;=$F29+$G29-1),1,""))</f>
        <v/>
      </c>
      <c r="AZ29" s="126" t="str">
        <f ca="1">IF(AND($C29="Goal",AZ$7&gt;=$F29,AZ$7&lt;=$F29+$G29-1),2,IF(AND($C29="Milestone",AZ$7&gt;=$F29,AZ$7&lt;=$F29+$G29-1),1,""))</f>
        <v/>
      </c>
      <c r="BA29" s="126" t="str">
        <f ca="1">IF(AND($C29="Goal",BA$7&gt;=$F29,BA$7&lt;=$F29+$G29-1),2,IF(AND($C29="Milestone",BA$7&gt;=$F29,BA$7&lt;=$F29+$G29-1),1,""))</f>
        <v/>
      </c>
      <c r="BB29" s="126" t="str">
        <f ca="1">IF(AND($C29="Goal",BB$7&gt;=$F29,BB$7&lt;=$F29+$G29-1),2,IF(AND($C29="Milestone",BB$7&gt;=$F29,BB$7&lt;=$F29+$G29-1),1,""))</f>
        <v/>
      </c>
      <c r="BC29" s="126" t="str">
        <f ca="1">IF(AND($C29="Goal",BC$7&gt;=$F29,BC$7&lt;=$F29+$G29-1),2,IF(AND($C29="Milestone",BC$7&gt;=$F29,BC$7&lt;=$F29+$G29-1),1,""))</f>
        <v/>
      </c>
      <c r="BD29" s="126" t="str">
        <f ca="1">IF(AND($C29="Goal",BD$7&gt;=$F29,BD$7&lt;=$F29+$G29-1),2,IF(AND($C29="Milestone",BD$7&gt;=$F29,BD$7&lt;=$F29+$G29-1),1,""))</f>
        <v/>
      </c>
      <c r="BE29" s="126" t="str">
        <f ca="1">IF(AND($C29="Goal",BE$7&gt;=$F29,BE$7&lt;=$F29+$G29-1),2,IF(AND($C29="Milestone",BE$7&gt;=$F29,BE$7&lt;=$F29+$G29-1),1,""))</f>
        <v/>
      </c>
      <c r="BF29" s="126" t="str">
        <f ca="1">IF(AND($C29="Goal",BF$7&gt;=$F29,BF$7&lt;=$F29+$G29-1),2,IF(AND($C29="Milestone",BF$7&gt;=$F29,BF$7&lt;=$F29+$G29-1),1,""))</f>
        <v/>
      </c>
      <c r="BG29" s="126" t="str">
        <f ca="1">IF(AND($C29="Goal",BG$7&gt;=$F29,BG$7&lt;=$F29+$G29-1),2,IF(AND($C29="Milestone",BG$7&gt;=$F29,BG$7&lt;=$F29+$G29-1),1,""))</f>
        <v/>
      </c>
      <c r="BH29" s="126" t="str">
        <f ca="1">IF(AND($C29="Goal",BH$7&gt;=$F29,BH$7&lt;=$F29+$G29-1),2,IF(AND($C29="Milestone",BH$7&gt;=$F29,BH$7&lt;=$F29+$G29-1),1,""))</f>
        <v/>
      </c>
      <c r="BI29" s="126" t="str">
        <f ca="1">IF(AND($C29="Goal",BI$7&gt;=$F29,BI$7&lt;=$F29+$G29-1),2,IF(AND($C29="Milestone",BI$7&gt;=$F29,BI$7&lt;=$F29+$G29-1),1,""))</f>
        <v/>
      </c>
      <c r="BJ29" s="126" t="str">
        <f ca="1">IF(AND($C29="Goal",BJ$7&gt;=$F29,BJ$7&lt;=$F29+$G29-1),2,IF(AND($C29="Milestone",BJ$7&gt;=$F29,BJ$7&lt;=$F29+$G29-1),1,""))</f>
        <v/>
      </c>
      <c r="BK29" s="126" t="str">
        <f ca="1">IF(AND($C29="Goal",BK$7&gt;=$F29,BK$7&lt;=$F29+$G29-1),2,IF(AND($C29="Milestone",BK$7&gt;=$F29,BK$7&lt;=$F29+$G29-1),1,""))</f>
        <v/>
      </c>
      <c r="BL29" s="126" t="str">
        <f ca="1">IF(AND($C29="Goal",BL$7&gt;=$F29,BL$7&lt;=$F29+$G29-1),2,IF(AND($C29="Milestone",BL$7&gt;=$F29,BL$7&lt;=$F29+$G29-1),1,""))</f>
        <v/>
      </c>
      <c r="BM29" s="27"/>
    </row>
    <row r="30" spans="1:65" s="1" customFormat="1" ht="40" customHeight="1" x14ac:dyDescent="0.35">
      <c r="A30" s="9"/>
      <c r="B30" s="25" t="s">
        <v>86</v>
      </c>
      <c r="C30" s="21"/>
      <c r="D30" s="21"/>
      <c r="E30" s="22"/>
      <c r="F30" s="23"/>
      <c r="G30" s="24"/>
      <c r="H30" s="19"/>
      <c r="I30" s="125" t="str">
        <f ca="1">IF(AND($C30="Goal",I$7&gt;=$F30,I$7&lt;=$F30+$G30-1),2,IF(AND($C30="Milestone",I$7&gt;=$F30,I$7&lt;=$F30+$G30-1),1,""))</f>
        <v/>
      </c>
      <c r="J30" s="126" t="str">
        <f ca="1">IF(AND($C30="Goal",J$7&gt;=$F30,J$7&lt;=$F30+$G30-1),2,IF(AND($C30="Milestone",J$7&gt;=$F30,J$7&lt;=$F30+$G30-1),1,""))</f>
        <v/>
      </c>
      <c r="K30" s="126" t="str">
        <f ca="1">IF(AND($C30="Goal",K$7&gt;=$F30,K$7&lt;=$F30+$G30-1),2,IF(AND($C30="Milestone",K$7&gt;=$F30,K$7&lt;=$F30+$G30-1),1,""))</f>
        <v/>
      </c>
      <c r="L30" s="126" t="str">
        <f ca="1">IF(AND($C30="Goal",L$7&gt;=$F30,L$7&lt;=$F30+$G30-1),2,IF(AND($C30="Milestone",L$7&gt;=$F30,L$7&lt;=$F30+$G30-1),1,""))</f>
        <v/>
      </c>
      <c r="M30" s="126" t="str">
        <f ca="1">IF(AND($C30="Goal",M$7&gt;=$F30,M$7&lt;=$F30+$G30-1),2,IF(AND($C30="Milestone",M$7&gt;=$F30,M$7&lt;=$F30+$G30-1),1,""))</f>
        <v/>
      </c>
      <c r="N30" s="126" t="str">
        <f ca="1">IF(AND($C30="Goal",N$7&gt;=$F30,N$7&lt;=$F30+$G30-1),2,IF(AND($C30="Milestone",N$7&gt;=$F30,N$7&lt;=$F30+$G30-1),1,""))</f>
        <v/>
      </c>
      <c r="O30" s="126" t="str">
        <f ca="1">IF(AND($C30="Goal",O$7&gt;=$F30,O$7&lt;=$F30+$G30-1),2,IF(AND($C30="Milestone",O$7&gt;=$F30,O$7&lt;=$F30+$G30-1),1,""))</f>
        <v/>
      </c>
      <c r="P30" s="126" t="str">
        <f ca="1">IF(AND($C30="Goal",P$7&gt;=$F30,P$7&lt;=$F30+$G30-1),2,IF(AND($C30="Milestone",P$7&gt;=$F30,P$7&lt;=$F30+$G30-1),1,""))</f>
        <v/>
      </c>
      <c r="Q30" s="126" t="str">
        <f ca="1">IF(AND($C30="Goal",Q$7&gt;=$F30,Q$7&lt;=$F30+$G30-1),2,IF(AND($C30="Milestone",Q$7&gt;=$F30,Q$7&lt;=$F30+$G30-1),1,""))</f>
        <v/>
      </c>
      <c r="R30" s="126" t="str">
        <f ca="1">IF(AND($C30="Goal",R$7&gt;=$F30,R$7&lt;=$F30+$G30-1),2,IF(AND($C30="Milestone",R$7&gt;=$F30,R$7&lt;=$F30+$G30-1),1,""))</f>
        <v/>
      </c>
      <c r="S30" s="126" t="str">
        <f ca="1">IF(AND($C30="Goal",S$7&gt;=$F30,S$7&lt;=$F30+$G30-1),2,IF(AND($C30="Milestone",S$7&gt;=$F30,S$7&lt;=$F30+$G30-1),1,""))</f>
        <v/>
      </c>
      <c r="T30" s="126" t="str">
        <f ca="1">IF(AND($C30="Goal",T$7&gt;=$F30,T$7&lt;=$F30+$G30-1),2,IF(AND($C30="Milestone",T$7&gt;=$F30,T$7&lt;=$F30+$G30-1),1,""))</f>
        <v/>
      </c>
      <c r="U30" s="126" t="str">
        <f ca="1">IF(AND($C30="Goal",U$7&gt;=$F30,U$7&lt;=$F30+$G30-1),2,IF(AND($C30="Milestone",U$7&gt;=$F30,U$7&lt;=$F30+$G30-1),1,""))</f>
        <v/>
      </c>
      <c r="V30" s="126" t="str">
        <f ca="1">IF(AND($C30="Goal",V$7&gt;=$F30,V$7&lt;=$F30+$G30-1),2,IF(AND($C30="Milestone",V$7&gt;=$F30,V$7&lt;=$F30+$G30-1),1,""))</f>
        <v/>
      </c>
      <c r="W30" s="126" t="str">
        <f ca="1">IF(AND($C30="Goal",W$7&gt;=$F30,W$7&lt;=$F30+$G30-1),2,IF(AND($C30="Milestone",W$7&gt;=$F30,W$7&lt;=$F30+$G30-1),1,""))</f>
        <v/>
      </c>
      <c r="X30" s="126" t="str">
        <f ca="1">IF(AND($C30="Goal",X$7&gt;=$F30,X$7&lt;=$F30+$G30-1),2,IF(AND($C30="Milestone",X$7&gt;=$F30,X$7&lt;=$F30+$G30-1),1,""))</f>
        <v/>
      </c>
      <c r="Y30" s="126" t="str">
        <f ca="1">IF(AND($C30="Goal",Y$7&gt;=$F30,Y$7&lt;=$F30+$G30-1),2,IF(AND($C30="Milestone",Y$7&gt;=$F30,Y$7&lt;=$F30+$G30-1),1,""))</f>
        <v/>
      </c>
      <c r="Z30" s="126" t="str">
        <f ca="1">IF(AND($C30="Goal",Z$7&gt;=$F30,Z$7&lt;=$F30+$G30-1),2,IF(AND($C30="Milestone",Z$7&gt;=$F30,Z$7&lt;=$F30+$G30-1),1,""))</f>
        <v/>
      </c>
      <c r="AA30" s="126" t="str">
        <f ca="1">IF(AND($C30="Goal",AA$7&gt;=$F30,AA$7&lt;=$F30+$G30-1),2,IF(AND($C30="Milestone",AA$7&gt;=$F30,AA$7&lt;=$F30+$G30-1),1,""))</f>
        <v/>
      </c>
      <c r="AB30" s="126" t="str">
        <f ca="1">IF(AND($C30="Goal",AB$7&gt;=$F30,AB$7&lt;=$F30+$G30-1),2,IF(AND($C30="Milestone",AB$7&gt;=$F30,AB$7&lt;=$F30+$G30-1),1,""))</f>
        <v/>
      </c>
      <c r="AC30" s="126" t="str">
        <f ca="1">IF(AND($C30="Goal",AC$7&gt;=$F30,AC$7&lt;=$F30+$G30-1),2,IF(AND($C30="Milestone",AC$7&gt;=$F30,AC$7&lt;=$F30+$G30-1),1,""))</f>
        <v/>
      </c>
      <c r="AD30" s="126" t="str">
        <f ca="1">IF(AND($C30="Goal",AD$7&gt;=$F30,AD$7&lt;=$F30+$G30-1),2,IF(AND($C30="Milestone",AD$7&gt;=$F30,AD$7&lt;=$F30+$G30-1),1,""))</f>
        <v/>
      </c>
      <c r="AE30" s="126" t="str">
        <f ca="1">IF(AND($C30="Goal",AE$7&gt;=$F30,AE$7&lt;=$F30+$G30-1),2,IF(AND($C30="Milestone",AE$7&gt;=$F30,AE$7&lt;=$F30+$G30-1),1,""))</f>
        <v/>
      </c>
      <c r="AF30" s="126" t="str">
        <f ca="1">IF(AND($C30="Goal",AF$7&gt;=$F30,AF$7&lt;=$F30+$G30-1),2,IF(AND($C30="Milestone",AF$7&gt;=$F30,AF$7&lt;=$F30+$G30-1),1,""))</f>
        <v/>
      </c>
      <c r="AG30" s="126" t="str">
        <f ca="1">IF(AND($C30="Goal",AG$7&gt;=$F30,AG$7&lt;=$F30+$G30-1),2,IF(AND($C30="Milestone",AG$7&gt;=$F30,AG$7&lt;=$F30+$G30-1),1,""))</f>
        <v/>
      </c>
      <c r="AH30" s="126" t="str">
        <f ca="1">IF(AND($C30="Goal",AH$7&gt;=$F30,AH$7&lt;=$F30+$G30-1),2,IF(AND($C30="Milestone",AH$7&gt;=$F30,AH$7&lt;=$F30+$G30-1),1,""))</f>
        <v/>
      </c>
      <c r="AI30" s="126" t="str">
        <f ca="1">IF(AND($C30="Goal",AI$7&gt;=$F30,AI$7&lt;=$F30+$G30-1),2,IF(AND($C30="Milestone",AI$7&gt;=$F30,AI$7&lt;=$F30+$G30-1),1,""))</f>
        <v/>
      </c>
      <c r="AJ30" s="126" t="str">
        <f ca="1">IF(AND($C30="Goal",AJ$7&gt;=$F30,AJ$7&lt;=$F30+$G30-1),2,IF(AND($C30="Milestone",AJ$7&gt;=$F30,AJ$7&lt;=$F30+$G30-1),1,""))</f>
        <v/>
      </c>
      <c r="AK30" s="126" t="str">
        <f ca="1">IF(AND($C30="Goal",AK$7&gt;=$F30,AK$7&lt;=$F30+$G30-1),2,IF(AND($C30="Milestone",AK$7&gt;=$F30,AK$7&lt;=$F30+$G30-1),1,""))</f>
        <v/>
      </c>
      <c r="AL30" s="126" t="str">
        <f ca="1">IF(AND($C30="Goal",AL$7&gt;=$F30,AL$7&lt;=$F30+$G30-1),2,IF(AND($C30="Milestone",AL$7&gt;=$F30,AL$7&lt;=$F30+$G30-1),1,""))</f>
        <v/>
      </c>
      <c r="AM30" s="126" t="str">
        <f ca="1">IF(AND($C30="Goal",AM$7&gt;=$F30,AM$7&lt;=$F30+$G30-1),2,IF(AND($C30="Milestone",AM$7&gt;=$F30,AM$7&lt;=$F30+$G30-1),1,""))</f>
        <v/>
      </c>
      <c r="AN30" s="126" t="str">
        <f ca="1">IF(AND($C30="Goal",AN$7&gt;=$F30,AN$7&lt;=$F30+$G30-1),2,IF(AND($C30="Milestone",AN$7&gt;=$F30,AN$7&lt;=$F30+$G30-1),1,""))</f>
        <v/>
      </c>
      <c r="AO30" s="126" t="str">
        <f ca="1">IF(AND($C30="Goal",AO$7&gt;=$F30,AO$7&lt;=$F30+$G30-1),2,IF(AND($C30="Milestone",AO$7&gt;=$F30,AO$7&lt;=$F30+$G30-1),1,""))</f>
        <v/>
      </c>
      <c r="AP30" s="126" t="str">
        <f ca="1">IF(AND($C30="Goal",AP$7&gt;=$F30,AP$7&lt;=$F30+$G30-1),2,IF(AND($C30="Milestone",AP$7&gt;=$F30,AP$7&lt;=$F30+$G30-1),1,""))</f>
        <v/>
      </c>
      <c r="AQ30" s="126" t="str">
        <f ca="1">IF(AND($C30="Goal",AQ$7&gt;=$F30,AQ$7&lt;=$F30+$G30-1),2,IF(AND($C30="Milestone",AQ$7&gt;=$F30,AQ$7&lt;=$F30+$G30-1),1,""))</f>
        <v/>
      </c>
      <c r="AR30" s="126" t="str">
        <f ca="1">IF(AND($C30="Goal",AR$7&gt;=$F30,AR$7&lt;=$F30+$G30-1),2,IF(AND($C30="Milestone",AR$7&gt;=$F30,AR$7&lt;=$F30+$G30-1),1,""))</f>
        <v/>
      </c>
      <c r="AS30" s="126" t="str">
        <f ca="1">IF(AND($C30="Goal",AS$7&gt;=$F30,AS$7&lt;=$F30+$G30-1),2,IF(AND($C30="Milestone",AS$7&gt;=$F30,AS$7&lt;=$F30+$G30-1),1,""))</f>
        <v/>
      </c>
      <c r="AT30" s="126" t="str">
        <f ca="1">IF(AND($C30="Goal",AT$7&gt;=$F30,AT$7&lt;=$F30+$G30-1),2,IF(AND($C30="Milestone",AT$7&gt;=$F30,AT$7&lt;=$F30+$G30-1),1,""))</f>
        <v/>
      </c>
      <c r="AU30" s="126" t="str">
        <f ca="1">IF(AND($C30="Goal",AU$7&gt;=$F30,AU$7&lt;=$F30+$G30-1),2,IF(AND($C30="Milestone",AU$7&gt;=$F30,AU$7&lt;=$F30+$G30-1),1,""))</f>
        <v/>
      </c>
      <c r="AV30" s="126" t="str">
        <f ca="1">IF(AND($C30="Goal",AV$7&gt;=$F30,AV$7&lt;=$F30+$G30-1),2,IF(AND($C30="Milestone",AV$7&gt;=$F30,AV$7&lt;=$F30+$G30-1),1,""))</f>
        <v/>
      </c>
      <c r="AW30" s="126" t="str">
        <f ca="1">IF(AND($C30="Goal",AW$7&gt;=$F30,AW$7&lt;=$F30+$G30-1),2,IF(AND($C30="Milestone",AW$7&gt;=$F30,AW$7&lt;=$F30+$G30-1),1,""))</f>
        <v/>
      </c>
      <c r="AX30" s="126" t="str">
        <f ca="1">IF(AND($C30="Goal",AX$7&gt;=$F30,AX$7&lt;=$F30+$G30-1),2,IF(AND($C30="Milestone",AX$7&gt;=$F30,AX$7&lt;=$F30+$G30-1),1,""))</f>
        <v/>
      </c>
      <c r="AY30" s="126" t="str">
        <f ca="1">IF(AND($C30="Goal",AY$7&gt;=$F30,AY$7&lt;=$F30+$G30-1),2,IF(AND($C30="Milestone",AY$7&gt;=$F30,AY$7&lt;=$F30+$G30-1),1,""))</f>
        <v/>
      </c>
      <c r="AZ30" s="126" t="str">
        <f ca="1">IF(AND($C30="Goal",AZ$7&gt;=$F30,AZ$7&lt;=$F30+$G30-1),2,IF(AND($C30="Milestone",AZ$7&gt;=$F30,AZ$7&lt;=$F30+$G30-1),1,""))</f>
        <v/>
      </c>
      <c r="BA30" s="126" t="str">
        <f ca="1">IF(AND($C30="Goal",BA$7&gt;=$F30,BA$7&lt;=$F30+$G30-1),2,IF(AND($C30="Milestone",BA$7&gt;=$F30,BA$7&lt;=$F30+$G30-1),1,""))</f>
        <v/>
      </c>
      <c r="BB30" s="126" t="str">
        <f ca="1">IF(AND($C30="Goal",BB$7&gt;=$F30,BB$7&lt;=$F30+$G30-1),2,IF(AND($C30="Milestone",BB$7&gt;=$F30,BB$7&lt;=$F30+$G30-1),1,""))</f>
        <v/>
      </c>
      <c r="BC30" s="126" t="str">
        <f ca="1">IF(AND($C30="Goal",BC$7&gt;=$F30,BC$7&lt;=$F30+$G30-1),2,IF(AND($C30="Milestone",BC$7&gt;=$F30,BC$7&lt;=$F30+$G30-1),1,""))</f>
        <v/>
      </c>
      <c r="BD30" s="126" t="str">
        <f ca="1">IF(AND($C30="Goal",BD$7&gt;=$F30,BD$7&lt;=$F30+$G30-1),2,IF(AND($C30="Milestone",BD$7&gt;=$F30,BD$7&lt;=$F30+$G30-1),1,""))</f>
        <v/>
      </c>
      <c r="BE30" s="126" t="str">
        <f ca="1">IF(AND($C30="Goal",BE$7&gt;=$F30,BE$7&lt;=$F30+$G30-1),2,IF(AND($C30="Milestone",BE$7&gt;=$F30,BE$7&lt;=$F30+$G30-1),1,""))</f>
        <v/>
      </c>
      <c r="BF30" s="126" t="str">
        <f ca="1">IF(AND($C30="Goal",BF$7&gt;=$F30,BF$7&lt;=$F30+$G30-1),2,IF(AND($C30="Milestone",BF$7&gt;=$F30,BF$7&lt;=$F30+$G30-1),1,""))</f>
        <v/>
      </c>
      <c r="BG30" s="126" t="str">
        <f ca="1">IF(AND($C30="Goal",BG$7&gt;=$F30,BG$7&lt;=$F30+$G30-1),2,IF(AND($C30="Milestone",BG$7&gt;=$F30,BG$7&lt;=$F30+$G30-1),1,""))</f>
        <v/>
      </c>
      <c r="BH30" s="126" t="str">
        <f ca="1">IF(AND($C30="Goal",BH$7&gt;=$F30,BH$7&lt;=$F30+$G30-1),2,IF(AND($C30="Milestone",BH$7&gt;=$F30,BH$7&lt;=$F30+$G30-1),1,""))</f>
        <v/>
      </c>
      <c r="BI30" s="126" t="str">
        <f ca="1">IF(AND($C30="Goal",BI$7&gt;=$F30,BI$7&lt;=$F30+$G30-1),2,IF(AND($C30="Milestone",BI$7&gt;=$F30,BI$7&lt;=$F30+$G30-1),1,""))</f>
        <v/>
      </c>
      <c r="BJ30" s="126" t="str">
        <f ca="1">IF(AND($C30="Goal",BJ$7&gt;=$F30,BJ$7&lt;=$F30+$G30-1),2,IF(AND($C30="Milestone",BJ$7&gt;=$F30,BJ$7&lt;=$F30+$G30-1),1,""))</f>
        <v/>
      </c>
      <c r="BK30" s="126" t="str">
        <f ca="1">IF(AND($C30="Goal",BK$7&gt;=$F30,BK$7&lt;=$F30+$G30-1),2,IF(AND($C30="Milestone",BK$7&gt;=$F30,BK$7&lt;=$F30+$G30-1),1,""))</f>
        <v/>
      </c>
      <c r="BL30" s="126" t="str">
        <f ca="1">IF(AND($C30="Goal",BL$7&gt;=$F30,BL$7&lt;=$F30+$G30-1),2,IF(AND($C30="Milestone",BL$7&gt;=$F30,BL$7&lt;=$F30+$G30-1),1,""))</f>
        <v/>
      </c>
      <c r="BM30" s="27"/>
    </row>
    <row r="31" spans="1:65" s="1" customFormat="1" ht="40" customHeight="1" x14ac:dyDescent="0.35">
      <c r="A31" s="9"/>
      <c r="B31" s="25"/>
      <c r="C31" s="21"/>
      <c r="D31" s="21"/>
      <c r="E31" s="22"/>
      <c r="F31" s="23"/>
      <c r="G31" s="24"/>
      <c r="H31" s="19"/>
      <c r="I31" s="125" t="str">
        <f ca="1">IF(AND($C31="Goal",I$7&gt;=$F31,I$7&lt;=$F31+$G31-1),2,IF(AND($C31="Milestone",I$7&gt;=$F31,I$7&lt;=$F31+$G31-1),1,""))</f>
        <v/>
      </c>
      <c r="J31" s="126" t="str">
        <f ca="1">IF(AND($C31="Goal",J$7&gt;=$F31,J$7&lt;=$F31+$G31-1),2,IF(AND($C31="Milestone",J$7&gt;=$F31,J$7&lt;=$F31+$G31-1),1,""))</f>
        <v/>
      </c>
      <c r="K31" s="126" t="str">
        <f ca="1">IF(AND($C31="Goal",K$7&gt;=$F31,K$7&lt;=$F31+$G31-1),2,IF(AND($C31="Milestone",K$7&gt;=$F31,K$7&lt;=$F31+$G31-1),1,""))</f>
        <v/>
      </c>
      <c r="L31" s="126" t="str">
        <f ca="1">IF(AND($C31="Goal",L$7&gt;=$F31,L$7&lt;=$F31+$G31-1),2,IF(AND($C31="Milestone",L$7&gt;=$F31,L$7&lt;=$F31+$G31-1),1,""))</f>
        <v/>
      </c>
      <c r="M31" s="126" t="str">
        <f ca="1">IF(AND($C31="Goal",M$7&gt;=$F31,M$7&lt;=$F31+$G31-1),2,IF(AND($C31="Milestone",M$7&gt;=$F31,M$7&lt;=$F31+$G31-1),1,""))</f>
        <v/>
      </c>
      <c r="N31" s="126" t="str">
        <f ca="1">IF(AND($C31="Goal",N$7&gt;=$F31,N$7&lt;=$F31+$G31-1),2,IF(AND($C31="Milestone",N$7&gt;=$F31,N$7&lt;=$F31+$G31-1),1,""))</f>
        <v/>
      </c>
      <c r="O31" s="126" t="str">
        <f ca="1">IF(AND($C31="Goal",O$7&gt;=$F31,O$7&lt;=$F31+$G31-1),2,IF(AND($C31="Milestone",O$7&gt;=$F31,O$7&lt;=$F31+$G31-1),1,""))</f>
        <v/>
      </c>
      <c r="P31" s="126" t="str">
        <f ca="1">IF(AND($C31="Goal",P$7&gt;=$F31,P$7&lt;=$F31+$G31-1),2,IF(AND($C31="Milestone",P$7&gt;=$F31,P$7&lt;=$F31+$G31-1),1,""))</f>
        <v/>
      </c>
      <c r="Q31" s="126" t="str">
        <f ca="1">IF(AND($C31="Goal",Q$7&gt;=$F31,Q$7&lt;=$F31+$G31-1),2,IF(AND($C31="Milestone",Q$7&gt;=$F31,Q$7&lt;=$F31+$G31-1),1,""))</f>
        <v/>
      </c>
      <c r="R31" s="126" t="str">
        <f ca="1">IF(AND($C31="Goal",R$7&gt;=$F31,R$7&lt;=$F31+$G31-1),2,IF(AND($C31="Milestone",R$7&gt;=$F31,R$7&lt;=$F31+$G31-1),1,""))</f>
        <v/>
      </c>
      <c r="S31" s="126" t="str">
        <f ca="1">IF(AND($C31="Goal",S$7&gt;=$F31,S$7&lt;=$F31+$G31-1),2,IF(AND($C31="Milestone",S$7&gt;=$F31,S$7&lt;=$F31+$G31-1),1,""))</f>
        <v/>
      </c>
      <c r="T31" s="126" t="str">
        <f ca="1">IF(AND($C31="Goal",T$7&gt;=$F31,T$7&lt;=$F31+$G31-1),2,IF(AND($C31="Milestone",T$7&gt;=$F31,T$7&lt;=$F31+$G31-1),1,""))</f>
        <v/>
      </c>
      <c r="U31" s="126" t="str">
        <f ca="1">IF(AND($C31="Goal",U$7&gt;=$F31,U$7&lt;=$F31+$G31-1),2,IF(AND($C31="Milestone",U$7&gt;=$F31,U$7&lt;=$F31+$G31-1),1,""))</f>
        <v/>
      </c>
      <c r="V31" s="126" t="str">
        <f ca="1">IF(AND($C31="Goal",V$7&gt;=$F31,V$7&lt;=$F31+$G31-1),2,IF(AND($C31="Milestone",V$7&gt;=$F31,V$7&lt;=$F31+$G31-1),1,""))</f>
        <v/>
      </c>
      <c r="W31" s="126" t="str">
        <f ca="1">IF(AND($C31="Goal",W$7&gt;=$F31,W$7&lt;=$F31+$G31-1),2,IF(AND($C31="Milestone",W$7&gt;=$F31,W$7&lt;=$F31+$G31-1),1,""))</f>
        <v/>
      </c>
      <c r="X31" s="126" t="str">
        <f ca="1">IF(AND($C31="Goal",X$7&gt;=$F31,X$7&lt;=$F31+$G31-1),2,IF(AND($C31="Milestone",X$7&gt;=$F31,X$7&lt;=$F31+$G31-1),1,""))</f>
        <v/>
      </c>
      <c r="Y31" s="126" t="str">
        <f ca="1">IF(AND($C31="Goal",Y$7&gt;=$F31,Y$7&lt;=$F31+$G31-1),2,IF(AND($C31="Milestone",Y$7&gt;=$F31,Y$7&lt;=$F31+$G31-1),1,""))</f>
        <v/>
      </c>
      <c r="Z31" s="126" t="str">
        <f ca="1">IF(AND($C31="Goal",Z$7&gt;=$F31,Z$7&lt;=$F31+$G31-1),2,IF(AND($C31="Milestone",Z$7&gt;=$F31,Z$7&lt;=$F31+$G31-1),1,""))</f>
        <v/>
      </c>
      <c r="AA31" s="126" t="str">
        <f ca="1">IF(AND($C31="Goal",AA$7&gt;=$F31,AA$7&lt;=$F31+$G31-1),2,IF(AND($C31="Milestone",AA$7&gt;=$F31,AA$7&lt;=$F31+$G31-1),1,""))</f>
        <v/>
      </c>
      <c r="AB31" s="126" t="str">
        <f ca="1">IF(AND($C31="Goal",AB$7&gt;=$F31,AB$7&lt;=$F31+$G31-1),2,IF(AND($C31="Milestone",AB$7&gt;=$F31,AB$7&lt;=$F31+$G31-1),1,""))</f>
        <v/>
      </c>
      <c r="AC31" s="126" t="str">
        <f ca="1">IF(AND($C31="Goal",AC$7&gt;=$F31,AC$7&lt;=$F31+$G31-1),2,IF(AND($C31="Milestone",AC$7&gt;=$F31,AC$7&lt;=$F31+$G31-1),1,""))</f>
        <v/>
      </c>
      <c r="AD31" s="126" t="str">
        <f ca="1">IF(AND($C31="Goal",AD$7&gt;=$F31,AD$7&lt;=$F31+$G31-1),2,IF(AND($C31="Milestone",AD$7&gt;=$F31,AD$7&lt;=$F31+$G31-1),1,""))</f>
        <v/>
      </c>
      <c r="AE31" s="126" t="str">
        <f ca="1">IF(AND($C31="Goal",AE$7&gt;=$F31,AE$7&lt;=$F31+$G31-1),2,IF(AND($C31="Milestone",AE$7&gt;=$F31,AE$7&lt;=$F31+$G31-1),1,""))</f>
        <v/>
      </c>
      <c r="AF31" s="126" t="str">
        <f ca="1">IF(AND($C31="Goal",AF$7&gt;=$F31,AF$7&lt;=$F31+$G31-1),2,IF(AND($C31="Milestone",AF$7&gt;=$F31,AF$7&lt;=$F31+$G31-1),1,""))</f>
        <v/>
      </c>
      <c r="AG31" s="126" t="str">
        <f ca="1">IF(AND($C31="Goal",AG$7&gt;=$F31,AG$7&lt;=$F31+$G31-1),2,IF(AND($C31="Milestone",AG$7&gt;=$F31,AG$7&lt;=$F31+$G31-1),1,""))</f>
        <v/>
      </c>
      <c r="AH31" s="126" t="str">
        <f ca="1">IF(AND($C31="Goal",AH$7&gt;=$F31,AH$7&lt;=$F31+$G31-1),2,IF(AND($C31="Milestone",AH$7&gt;=$F31,AH$7&lt;=$F31+$G31-1),1,""))</f>
        <v/>
      </c>
      <c r="AI31" s="126" t="str">
        <f ca="1">IF(AND($C31="Goal",AI$7&gt;=$F31,AI$7&lt;=$F31+$G31-1),2,IF(AND($C31="Milestone",AI$7&gt;=$F31,AI$7&lt;=$F31+$G31-1),1,""))</f>
        <v/>
      </c>
      <c r="AJ31" s="126" t="str">
        <f ca="1">IF(AND($C31="Goal",AJ$7&gt;=$F31,AJ$7&lt;=$F31+$G31-1),2,IF(AND($C31="Milestone",AJ$7&gt;=$F31,AJ$7&lt;=$F31+$G31-1),1,""))</f>
        <v/>
      </c>
      <c r="AK31" s="126" t="str">
        <f ca="1">IF(AND($C31="Goal",AK$7&gt;=$F31,AK$7&lt;=$F31+$G31-1),2,IF(AND($C31="Milestone",AK$7&gt;=$F31,AK$7&lt;=$F31+$G31-1),1,""))</f>
        <v/>
      </c>
      <c r="AL31" s="126" t="str">
        <f ca="1">IF(AND($C31="Goal",AL$7&gt;=$F31,AL$7&lt;=$F31+$G31-1),2,IF(AND($C31="Milestone",AL$7&gt;=$F31,AL$7&lt;=$F31+$G31-1),1,""))</f>
        <v/>
      </c>
      <c r="AM31" s="126" t="str">
        <f ca="1">IF(AND($C31="Goal",AM$7&gt;=$F31,AM$7&lt;=$F31+$G31-1),2,IF(AND($C31="Milestone",AM$7&gt;=$F31,AM$7&lt;=$F31+$G31-1),1,""))</f>
        <v/>
      </c>
      <c r="AN31" s="126" t="str">
        <f ca="1">IF(AND($C31="Goal",AN$7&gt;=$F31,AN$7&lt;=$F31+$G31-1),2,IF(AND($C31="Milestone",AN$7&gt;=$F31,AN$7&lt;=$F31+$G31-1),1,""))</f>
        <v/>
      </c>
      <c r="AO31" s="126" t="str">
        <f ca="1">IF(AND($C31="Goal",AO$7&gt;=$F31,AO$7&lt;=$F31+$G31-1),2,IF(AND($C31="Milestone",AO$7&gt;=$F31,AO$7&lt;=$F31+$G31-1),1,""))</f>
        <v/>
      </c>
      <c r="AP31" s="126" t="str">
        <f ca="1">IF(AND($C31="Goal",AP$7&gt;=$F31,AP$7&lt;=$F31+$G31-1),2,IF(AND($C31="Milestone",AP$7&gt;=$F31,AP$7&lt;=$F31+$G31-1),1,""))</f>
        <v/>
      </c>
      <c r="AQ31" s="126" t="str">
        <f ca="1">IF(AND($C31="Goal",AQ$7&gt;=$F31,AQ$7&lt;=$F31+$G31-1),2,IF(AND($C31="Milestone",AQ$7&gt;=$F31,AQ$7&lt;=$F31+$G31-1),1,""))</f>
        <v/>
      </c>
      <c r="AR31" s="126" t="str">
        <f ca="1">IF(AND($C31="Goal",AR$7&gt;=$F31,AR$7&lt;=$F31+$G31-1),2,IF(AND($C31="Milestone",AR$7&gt;=$F31,AR$7&lt;=$F31+$G31-1),1,""))</f>
        <v/>
      </c>
      <c r="AS31" s="126" t="str">
        <f ca="1">IF(AND($C31="Goal",AS$7&gt;=$F31,AS$7&lt;=$F31+$G31-1),2,IF(AND($C31="Milestone",AS$7&gt;=$F31,AS$7&lt;=$F31+$G31-1),1,""))</f>
        <v/>
      </c>
      <c r="AT31" s="126" t="str">
        <f ca="1">IF(AND($C31="Goal",AT$7&gt;=$F31,AT$7&lt;=$F31+$G31-1),2,IF(AND($C31="Milestone",AT$7&gt;=$F31,AT$7&lt;=$F31+$G31-1),1,""))</f>
        <v/>
      </c>
      <c r="AU31" s="126" t="str">
        <f ca="1">IF(AND($C31="Goal",AU$7&gt;=$F31,AU$7&lt;=$F31+$G31-1),2,IF(AND($C31="Milestone",AU$7&gt;=$F31,AU$7&lt;=$F31+$G31-1),1,""))</f>
        <v/>
      </c>
      <c r="AV31" s="126" t="str">
        <f ca="1">IF(AND($C31="Goal",AV$7&gt;=$F31,AV$7&lt;=$F31+$G31-1),2,IF(AND($C31="Milestone",AV$7&gt;=$F31,AV$7&lt;=$F31+$G31-1),1,""))</f>
        <v/>
      </c>
      <c r="AW31" s="126" t="str">
        <f ca="1">IF(AND($C31="Goal",AW$7&gt;=$F31,AW$7&lt;=$F31+$G31-1),2,IF(AND($C31="Milestone",AW$7&gt;=$F31,AW$7&lt;=$F31+$G31-1),1,""))</f>
        <v/>
      </c>
      <c r="AX31" s="126" t="str">
        <f ca="1">IF(AND($C31="Goal",AX$7&gt;=$F31,AX$7&lt;=$F31+$G31-1),2,IF(AND($C31="Milestone",AX$7&gt;=$F31,AX$7&lt;=$F31+$G31-1),1,""))</f>
        <v/>
      </c>
      <c r="AY31" s="126" t="str">
        <f ca="1">IF(AND($C31="Goal",AY$7&gt;=$F31,AY$7&lt;=$F31+$G31-1),2,IF(AND($C31="Milestone",AY$7&gt;=$F31,AY$7&lt;=$F31+$G31-1),1,""))</f>
        <v/>
      </c>
      <c r="AZ31" s="126" t="str">
        <f ca="1">IF(AND($C31="Goal",AZ$7&gt;=$F31,AZ$7&lt;=$F31+$G31-1),2,IF(AND($C31="Milestone",AZ$7&gt;=$F31,AZ$7&lt;=$F31+$G31-1),1,""))</f>
        <v/>
      </c>
      <c r="BA31" s="126" t="str">
        <f ca="1">IF(AND($C31="Goal",BA$7&gt;=$F31,BA$7&lt;=$F31+$G31-1),2,IF(AND($C31="Milestone",BA$7&gt;=$F31,BA$7&lt;=$F31+$G31-1),1,""))</f>
        <v/>
      </c>
      <c r="BB31" s="126" t="str">
        <f ca="1">IF(AND($C31="Goal",BB$7&gt;=$F31,BB$7&lt;=$F31+$G31-1),2,IF(AND($C31="Milestone",BB$7&gt;=$F31,BB$7&lt;=$F31+$G31-1),1,""))</f>
        <v/>
      </c>
      <c r="BC31" s="126" t="str">
        <f ca="1">IF(AND($C31="Goal",BC$7&gt;=$F31,BC$7&lt;=$F31+$G31-1),2,IF(AND($C31="Milestone",BC$7&gt;=$F31,BC$7&lt;=$F31+$G31-1),1,""))</f>
        <v/>
      </c>
      <c r="BD31" s="126" t="str">
        <f ca="1">IF(AND($C31="Goal",BD$7&gt;=$F31,BD$7&lt;=$F31+$G31-1),2,IF(AND($C31="Milestone",BD$7&gt;=$F31,BD$7&lt;=$F31+$G31-1),1,""))</f>
        <v/>
      </c>
      <c r="BE31" s="126" t="str">
        <f ca="1">IF(AND($C31="Goal",BE$7&gt;=$F31,BE$7&lt;=$F31+$G31-1),2,IF(AND($C31="Milestone",BE$7&gt;=$F31,BE$7&lt;=$F31+$G31-1),1,""))</f>
        <v/>
      </c>
      <c r="BF31" s="126" t="str">
        <f ca="1">IF(AND($C31="Goal",BF$7&gt;=$F31,BF$7&lt;=$F31+$G31-1),2,IF(AND($C31="Milestone",BF$7&gt;=$F31,BF$7&lt;=$F31+$G31-1),1,""))</f>
        <v/>
      </c>
      <c r="BG31" s="126" t="str">
        <f ca="1">IF(AND($C31="Goal",BG$7&gt;=$F31,BG$7&lt;=$F31+$G31-1),2,IF(AND($C31="Milestone",BG$7&gt;=$F31,BG$7&lt;=$F31+$G31-1),1,""))</f>
        <v/>
      </c>
      <c r="BH31" s="126" t="str">
        <f ca="1">IF(AND($C31="Goal",BH$7&gt;=$F31,BH$7&lt;=$F31+$G31-1),2,IF(AND($C31="Milestone",BH$7&gt;=$F31,BH$7&lt;=$F31+$G31-1),1,""))</f>
        <v/>
      </c>
      <c r="BI31" s="126" t="str">
        <f ca="1">IF(AND($C31="Goal",BI$7&gt;=$F31,BI$7&lt;=$F31+$G31-1),2,IF(AND($C31="Milestone",BI$7&gt;=$F31,BI$7&lt;=$F31+$G31-1),1,""))</f>
        <v/>
      </c>
      <c r="BJ31" s="126" t="str">
        <f ca="1">IF(AND($C31="Goal",BJ$7&gt;=$F31,BJ$7&lt;=$F31+$G31-1),2,IF(AND($C31="Milestone",BJ$7&gt;=$F31,BJ$7&lt;=$F31+$G31-1),1,""))</f>
        <v/>
      </c>
      <c r="BK31" s="126" t="str">
        <f ca="1">IF(AND($C31="Goal",BK$7&gt;=$F31,BK$7&lt;=$F31+$G31-1),2,IF(AND($C31="Milestone",BK$7&gt;=$F31,BK$7&lt;=$F31+$G31-1),1,""))</f>
        <v/>
      </c>
      <c r="BL31" s="126" t="str">
        <f ca="1">IF(AND($C31="Goal",BL$7&gt;=$F31,BL$7&lt;=$F31+$G31-1),2,IF(AND($C31="Milestone",BL$7&gt;=$F31,BL$7&lt;=$F31+$G31-1),1,""))</f>
        <v/>
      </c>
      <c r="BM31" s="27"/>
    </row>
    <row r="32" spans="1:65" s="1" customFormat="1" ht="40" customHeight="1" x14ac:dyDescent="0.35">
      <c r="A32" s="9"/>
      <c r="B32" s="25"/>
      <c r="C32" s="21"/>
      <c r="D32" s="21"/>
      <c r="E32" s="22"/>
      <c r="F32" s="23"/>
      <c r="G32" s="24"/>
      <c r="H32" s="19"/>
      <c r="I32" s="125" t="str">
        <f ca="1">IF(AND($C32="Goal",I$7&gt;=$F32,I$7&lt;=$F32+$G32-1),2,IF(AND($C32="Milestone",I$7&gt;=$F32,I$7&lt;=$F32+$G32-1),1,""))</f>
        <v/>
      </c>
      <c r="J32" s="126" t="str">
        <f ca="1">IF(AND($C32="Goal",J$7&gt;=$F32,J$7&lt;=$F32+$G32-1),2,IF(AND($C32="Milestone",J$7&gt;=$F32,J$7&lt;=$F32+$G32-1),1,""))</f>
        <v/>
      </c>
      <c r="K32" s="126" t="str">
        <f ca="1">IF(AND($C32="Goal",K$7&gt;=$F32,K$7&lt;=$F32+$G32-1),2,IF(AND($C32="Milestone",K$7&gt;=$F32,K$7&lt;=$F32+$G32-1),1,""))</f>
        <v/>
      </c>
      <c r="L32" s="126" t="str">
        <f ca="1">IF(AND($C32="Goal",L$7&gt;=$F32,L$7&lt;=$F32+$G32-1),2,IF(AND($C32="Milestone",L$7&gt;=$F32,L$7&lt;=$F32+$G32-1),1,""))</f>
        <v/>
      </c>
      <c r="M32" s="126" t="str">
        <f ca="1">IF(AND($C32="Goal",M$7&gt;=$F32,M$7&lt;=$F32+$G32-1),2,IF(AND($C32="Milestone",M$7&gt;=$F32,M$7&lt;=$F32+$G32-1),1,""))</f>
        <v/>
      </c>
      <c r="N32" s="126" t="str">
        <f ca="1">IF(AND($C32="Goal",N$7&gt;=$F32,N$7&lt;=$F32+$G32-1),2,IF(AND($C32="Milestone",N$7&gt;=$F32,N$7&lt;=$F32+$G32-1),1,""))</f>
        <v/>
      </c>
      <c r="O32" s="126" t="str">
        <f ca="1">IF(AND($C32="Goal",O$7&gt;=$F32,O$7&lt;=$F32+$G32-1),2,IF(AND($C32="Milestone",O$7&gt;=$F32,O$7&lt;=$F32+$G32-1),1,""))</f>
        <v/>
      </c>
      <c r="P32" s="126" t="str">
        <f ca="1">IF(AND($C32="Goal",P$7&gt;=$F32,P$7&lt;=$F32+$G32-1),2,IF(AND($C32="Milestone",P$7&gt;=$F32,P$7&lt;=$F32+$G32-1),1,""))</f>
        <v/>
      </c>
      <c r="Q32" s="126" t="str">
        <f ca="1">IF(AND($C32="Goal",Q$7&gt;=$F32,Q$7&lt;=$F32+$G32-1),2,IF(AND($C32="Milestone",Q$7&gt;=$F32,Q$7&lt;=$F32+$G32-1),1,""))</f>
        <v/>
      </c>
      <c r="R32" s="126" t="str">
        <f ca="1">IF(AND($C32="Goal",R$7&gt;=$F32,R$7&lt;=$F32+$G32-1),2,IF(AND($C32="Milestone",R$7&gt;=$F32,R$7&lt;=$F32+$G32-1),1,""))</f>
        <v/>
      </c>
      <c r="S32" s="126" t="str">
        <f ca="1">IF(AND($C32="Goal",S$7&gt;=$F32,S$7&lt;=$F32+$G32-1),2,IF(AND($C32="Milestone",S$7&gt;=$F32,S$7&lt;=$F32+$G32-1),1,""))</f>
        <v/>
      </c>
      <c r="T32" s="126" t="str">
        <f ca="1">IF(AND($C32="Goal",T$7&gt;=$F32,T$7&lt;=$F32+$G32-1),2,IF(AND($C32="Milestone",T$7&gt;=$F32,T$7&lt;=$F32+$G32-1),1,""))</f>
        <v/>
      </c>
      <c r="U32" s="126" t="str">
        <f ca="1">IF(AND($C32="Goal",U$7&gt;=$F32,U$7&lt;=$F32+$G32-1),2,IF(AND($C32="Milestone",U$7&gt;=$F32,U$7&lt;=$F32+$G32-1),1,""))</f>
        <v/>
      </c>
      <c r="V32" s="126" t="str">
        <f ca="1">IF(AND($C32="Goal",V$7&gt;=$F32,V$7&lt;=$F32+$G32-1),2,IF(AND($C32="Milestone",V$7&gt;=$F32,V$7&lt;=$F32+$G32-1),1,""))</f>
        <v/>
      </c>
      <c r="W32" s="126" t="str">
        <f ca="1">IF(AND($C32="Goal",W$7&gt;=$F32,W$7&lt;=$F32+$G32-1),2,IF(AND($C32="Milestone",W$7&gt;=$F32,W$7&lt;=$F32+$G32-1),1,""))</f>
        <v/>
      </c>
      <c r="X32" s="126" t="str">
        <f ca="1">IF(AND($C32="Goal",X$7&gt;=$F32,X$7&lt;=$F32+$G32-1),2,IF(AND($C32="Milestone",X$7&gt;=$F32,X$7&lt;=$F32+$G32-1),1,""))</f>
        <v/>
      </c>
      <c r="Y32" s="126" t="str">
        <f ca="1">IF(AND($C32="Goal",Y$7&gt;=$F32,Y$7&lt;=$F32+$G32-1),2,IF(AND($C32="Milestone",Y$7&gt;=$F32,Y$7&lt;=$F32+$G32-1),1,""))</f>
        <v/>
      </c>
      <c r="Z32" s="126" t="str">
        <f ca="1">IF(AND($C32="Goal",Z$7&gt;=$F32,Z$7&lt;=$F32+$G32-1),2,IF(AND($C32="Milestone",Z$7&gt;=$F32,Z$7&lt;=$F32+$G32-1),1,""))</f>
        <v/>
      </c>
      <c r="AA32" s="126" t="str">
        <f ca="1">IF(AND($C32="Goal",AA$7&gt;=$F32,AA$7&lt;=$F32+$G32-1),2,IF(AND($C32="Milestone",AA$7&gt;=$F32,AA$7&lt;=$F32+$G32-1),1,""))</f>
        <v/>
      </c>
      <c r="AB32" s="126" t="str">
        <f ca="1">IF(AND($C32="Goal",AB$7&gt;=$F32,AB$7&lt;=$F32+$G32-1),2,IF(AND($C32="Milestone",AB$7&gt;=$F32,AB$7&lt;=$F32+$G32-1),1,""))</f>
        <v/>
      </c>
      <c r="AC32" s="126" t="str">
        <f ca="1">IF(AND($C32="Goal",AC$7&gt;=$F32,AC$7&lt;=$F32+$G32-1),2,IF(AND($C32="Milestone",AC$7&gt;=$F32,AC$7&lt;=$F32+$G32-1),1,""))</f>
        <v/>
      </c>
      <c r="AD32" s="126" t="str">
        <f ca="1">IF(AND($C32="Goal",AD$7&gt;=$F32,AD$7&lt;=$F32+$G32-1),2,IF(AND($C32="Milestone",AD$7&gt;=$F32,AD$7&lt;=$F32+$G32-1),1,""))</f>
        <v/>
      </c>
      <c r="AE32" s="126" t="str">
        <f ca="1">IF(AND($C32="Goal",AE$7&gt;=$F32,AE$7&lt;=$F32+$G32-1),2,IF(AND($C32="Milestone",AE$7&gt;=$F32,AE$7&lt;=$F32+$G32-1),1,""))</f>
        <v/>
      </c>
      <c r="AF32" s="126" t="str">
        <f ca="1">IF(AND($C32="Goal",AF$7&gt;=$F32,AF$7&lt;=$F32+$G32-1),2,IF(AND($C32="Milestone",AF$7&gt;=$F32,AF$7&lt;=$F32+$G32-1),1,""))</f>
        <v/>
      </c>
      <c r="AG32" s="126" t="str">
        <f ca="1">IF(AND($C32="Goal",AG$7&gt;=$F32,AG$7&lt;=$F32+$G32-1),2,IF(AND($C32="Milestone",AG$7&gt;=$F32,AG$7&lt;=$F32+$G32-1),1,""))</f>
        <v/>
      </c>
      <c r="AH32" s="126" t="str">
        <f ca="1">IF(AND($C32="Goal",AH$7&gt;=$F32,AH$7&lt;=$F32+$G32-1),2,IF(AND($C32="Milestone",AH$7&gt;=$F32,AH$7&lt;=$F32+$G32-1),1,""))</f>
        <v/>
      </c>
      <c r="AI32" s="126" t="str">
        <f ca="1">IF(AND($C32="Goal",AI$7&gt;=$F32,AI$7&lt;=$F32+$G32-1),2,IF(AND($C32="Milestone",AI$7&gt;=$F32,AI$7&lt;=$F32+$G32-1),1,""))</f>
        <v/>
      </c>
      <c r="AJ32" s="126" t="str">
        <f ca="1">IF(AND($C32="Goal",AJ$7&gt;=$F32,AJ$7&lt;=$F32+$G32-1),2,IF(AND($C32="Milestone",AJ$7&gt;=$F32,AJ$7&lt;=$F32+$G32-1),1,""))</f>
        <v/>
      </c>
      <c r="AK32" s="126" t="str">
        <f ca="1">IF(AND($C32="Goal",AK$7&gt;=$F32,AK$7&lt;=$F32+$G32-1),2,IF(AND($C32="Milestone",AK$7&gt;=$F32,AK$7&lt;=$F32+$G32-1),1,""))</f>
        <v/>
      </c>
      <c r="AL32" s="126" t="str">
        <f ca="1">IF(AND($C32="Goal",AL$7&gt;=$F32,AL$7&lt;=$F32+$G32-1),2,IF(AND($C32="Milestone",AL$7&gt;=$F32,AL$7&lt;=$F32+$G32-1),1,""))</f>
        <v/>
      </c>
      <c r="AM32" s="126" t="str">
        <f ca="1">IF(AND($C32="Goal",AM$7&gt;=$F32,AM$7&lt;=$F32+$G32-1),2,IF(AND($C32="Milestone",AM$7&gt;=$F32,AM$7&lt;=$F32+$G32-1),1,""))</f>
        <v/>
      </c>
      <c r="AN32" s="126" t="str">
        <f ca="1">IF(AND($C32="Goal",AN$7&gt;=$F32,AN$7&lt;=$F32+$G32-1),2,IF(AND($C32="Milestone",AN$7&gt;=$F32,AN$7&lt;=$F32+$G32-1),1,""))</f>
        <v/>
      </c>
      <c r="AO32" s="126" t="str">
        <f ca="1">IF(AND($C32="Goal",AO$7&gt;=$F32,AO$7&lt;=$F32+$G32-1),2,IF(AND($C32="Milestone",AO$7&gt;=$F32,AO$7&lt;=$F32+$G32-1),1,""))</f>
        <v/>
      </c>
      <c r="AP32" s="126" t="str">
        <f ca="1">IF(AND($C32="Goal",AP$7&gt;=$F32,AP$7&lt;=$F32+$G32-1),2,IF(AND($C32="Milestone",AP$7&gt;=$F32,AP$7&lt;=$F32+$G32-1),1,""))</f>
        <v/>
      </c>
      <c r="AQ32" s="126" t="str">
        <f ca="1">IF(AND($C32="Goal",AQ$7&gt;=$F32,AQ$7&lt;=$F32+$G32-1),2,IF(AND($C32="Milestone",AQ$7&gt;=$F32,AQ$7&lt;=$F32+$G32-1),1,""))</f>
        <v/>
      </c>
      <c r="AR32" s="126" t="str">
        <f ca="1">IF(AND($C32="Goal",AR$7&gt;=$F32,AR$7&lt;=$F32+$G32-1),2,IF(AND($C32="Milestone",AR$7&gt;=$F32,AR$7&lt;=$F32+$G32-1),1,""))</f>
        <v/>
      </c>
      <c r="AS32" s="126" t="str">
        <f ca="1">IF(AND($C32="Goal",AS$7&gt;=$F32,AS$7&lt;=$F32+$G32-1),2,IF(AND($C32="Milestone",AS$7&gt;=$F32,AS$7&lt;=$F32+$G32-1),1,""))</f>
        <v/>
      </c>
      <c r="AT32" s="126" t="str">
        <f ca="1">IF(AND($C32="Goal",AT$7&gt;=$F32,AT$7&lt;=$F32+$G32-1),2,IF(AND($C32="Milestone",AT$7&gt;=$F32,AT$7&lt;=$F32+$G32-1),1,""))</f>
        <v/>
      </c>
      <c r="AU32" s="126" t="str">
        <f ca="1">IF(AND($C32="Goal",AU$7&gt;=$F32,AU$7&lt;=$F32+$G32-1),2,IF(AND($C32="Milestone",AU$7&gt;=$F32,AU$7&lt;=$F32+$G32-1),1,""))</f>
        <v/>
      </c>
      <c r="AV32" s="126" t="str">
        <f ca="1">IF(AND($C32="Goal",AV$7&gt;=$F32,AV$7&lt;=$F32+$G32-1),2,IF(AND($C32="Milestone",AV$7&gt;=$F32,AV$7&lt;=$F32+$G32-1),1,""))</f>
        <v/>
      </c>
      <c r="AW32" s="126" t="str">
        <f ca="1">IF(AND($C32="Goal",AW$7&gt;=$F32,AW$7&lt;=$F32+$G32-1),2,IF(AND($C32="Milestone",AW$7&gt;=$F32,AW$7&lt;=$F32+$G32-1),1,""))</f>
        <v/>
      </c>
      <c r="AX32" s="126" t="str">
        <f ca="1">IF(AND($C32="Goal",AX$7&gt;=$F32,AX$7&lt;=$F32+$G32-1),2,IF(AND($C32="Milestone",AX$7&gt;=$F32,AX$7&lt;=$F32+$G32-1),1,""))</f>
        <v/>
      </c>
      <c r="AY32" s="126" t="str">
        <f ca="1">IF(AND($C32="Goal",AY$7&gt;=$F32,AY$7&lt;=$F32+$G32-1),2,IF(AND($C32="Milestone",AY$7&gt;=$F32,AY$7&lt;=$F32+$G32-1),1,""))</f>
        <v/>
      </c>
      <c r="AZ32" s="126" t="str">
        <f ca="1">IF(AND($C32="Goal",AZ$7&gt;=$F32,AZ$7&lt;=$F32+$G32-1),2,IF(AND($C32="Milestone",AZ$7&gt;=$F32,AZ$7&lt;=$F32+$G32-1),1,""))</f>
        <v/>
      </c>
      <c r="BA32" s="126" t="str">
        <f ca="1">IF(AND($C32="Goal",BA$7&gt;=$F32,BA$7&lt;=$F32+$G32-1),2,IF(AND($C32="Milestone",BA$7&gt;=$F32,BA$7&lt;=$F32+$G32-1),1,""))</f>
        <v/>
      </c>
      <c r="BB32" s="126" t="str">
        <f ca="1">IF(AND($C32="Goal",BB$7&gt;=$F32,BB$7&lt;=$F32+$G32-1),2,IF(AND($C32="Milestone",BB$7&gt;=$F32,BB$7&lt;=$F32+$G32-1),1,""))</f>
        <v/>
      </c>
      <c r="BC32" s="126" t="str">
        <f ca="1">IF(AND($C32="Goal",BC$7&gt;=$F32,BC$7&lt;=$F32+$G32-1),2,IF(AND($C32="Milestone",BC$7&gt;=$F32,BC$7&lt;=$F32+$G32-1),1,""))</f>
        <v/>
      </c>
      <c r="BD32" s="126" t="str">
        <f ca="1">IF(AND($C32="Goal",BD$7&gt;=$F32,BD$7&lt;=$F32+$G32-1),2,IF(AND($C32="Milestone",BD$7&gt;=$F32,BD$7&lt;=$F32+$G32-1),1,""))</f>
        <v/>
      </c>
      <c r="BE32" s="126" t="str">
        <f ca="1">IF(AND($C32="Goal",BE$7&gt;=$F32,BE$7&lt;=$F32+$G32-1),2,IF(AND($C32="Milestone",BE$7&gt;=$F32,BE$7&lt;=$F32+$G32-1),1,""))</f>
        <v/>
      </c>
      <c r="BF32" s="126" t="str">
        <f ca="1">IF(AND($C32="Goal",BF$7&gt;=$F32,BF$7&lt;=$F32+$G32-1),2,IF(AND($C32="Milestone",BF$7&gt;=$F32,BF$7&lt;=$F32+$G32-1),1,""))</f>
        <v/>
      </c>
      <c r="BG32" s="126" t="str">
        <f ca="1">IF(AND($C32="Goal",BG$7&gt;=$F32,BG$7&lt;=$F32+$G32-1),2,IF(AND($C32="Milestone",BG$7&gt;=$F32,BG$7&lt;=$F32+$G32-1),1,""))</f>
        <v/>
      </c>
      <c r="BH32" s="126" t="str">
        <f ca="1">IF(AND($C32="Goal",BH$7&gt;=$F32,BH$7&lt;=$F32+$G32-1),2,IF(AND($C32="Milestone",BH$7&gt;=$F32,BH$7&lt;=$F32+$G32-1),1,""))</f>
        <v/>
      </c>
      <c r="BI32" s="126" t="str">
        <f ca="1">IF(AND($C32="Goal",BI$7&gt;=$F32,BI$7&lt;=$F32+$G32-1),2,IF(AND($C32="Milestone",BI$7&gt;=$F32,BI$7&lt;=$F32+$G32-1),1,""))</f>
        <v/>
      </c>
      <c r="BJ32" s="126" t="str">
        <f ca="1">IF(AND($C32="Goal",BJ$7&gt;=$F32,BJ$7&lt;=$F32+$G32-1),2,IF(AND($C32="Milestone",BJ$7&gt;=$F32,BJ$7&lt;=$F32+$G32-1),1,""))</f>
        <v/>
      </c>
      <c r="BK32" s="126" t="str">
        <f ca="1">IF(AND($C32="Goal",BK$7&gt;=$F32,BK$7&lt;=$F32+$G32-1),2,IF(AND($C32="Milestone",BK$7&gt;=$F32,BK$7&lt;=$F32+$G32-1),1,""))</f>
        <v/>
      </c>
      <c r="BL32" s="126" t="str">
        <f ca="1">IF(AND($C32="Goal",BL$7&gt;=$F32,BL$7&lt;=$F32+$G32-1),2,IF(AND($C32="Milestone",BL$7&gt;=$F32,BL$7&lt;=$F32+$G32-1),1,""))</f>
        <v/>
      </c>
      <c r="BM32" s="27"/>
    </row>
    <row r="33" spans="1:65" s="1" customFormat="1" ht="40" customHeight="1" x14ac:dyDescent="0.35">
      <c r="A33" s="9"/>
      <c r="B33" s="25"/>
      <c r="C33" s="21"/>
      <c r="D33" s="21"/>
      <c r="E33" s="22"/>
      <c r="F33" s="23"/>
      <c r="G33" s="24"/>
      <c r="H33" s="19"/>
      <c r="I33" s="125" t="str">
        <f ca="1">IF(AND($C33="Goal",I$7&gt;=$F33,I$7&lt;=$F33+$G33-1),2,IF(AND($C33="Milestone",I$7&gt;=$F33,I$7&lt;=$F33+$G33-1),1,""))</f>
        <v/>
      </c>
      <c r="J33" s="126" t="str">
        <f ca="1">IF(AND($C33="Goal",J$7&gt;=$F33,J$7&lt;=$F33+$G33-1),2,IF(AND($C33="Milestone",J$7&gt;=$F33,J$7&lt;=$F33+$G33-1),1,""))</f>
        <v/>
      </c>
      <c r="K33" s="126" t="str">
        <f ca="1">IF(AND($C33="Goal",K$7&gt;=$F33,K$7&lt;=$F33+$G33-1),2,IF(AND($C33="Milestone",K$7&gt;=$F33,K$7&lt;=$F33+$G33-1),1,""))</f>
        <v/>
      </c>
      <c r="L33" s="126" t="str">
        <f ca="1">IF(AND($C33="Goal",L$7&gt;=$F33,L$7&lt;=$F33+$G33-1),2,IF(AND($C33="Milestone",L$7&gt;=$F33,L$7&lt;=$F33+$G33-1),1,""))</f>
        <v/>
      </c>
      <c r="M33" s="126" t="str">
        <f ca="1">IF(AND($C33="Goal",M$7&gt;=$F33,M$7&lt;=$F33+$G33-1),2,IF(AND($C33="Milestone",M$7&gt;=$F33,M$7&lt;=$F33+$G33-1),1,""))</f>
        <v/>
      </c>
      <c r="N33" s="126" t="str">
        <f ca="1">IF(AND($C33="Goal",N$7&gt;=$F33,N$7&lt;=$F33+$G33-1),2,IF(AND($C33="Milestone",N$7&gt;=$F33,N$7&lt;=$F33+$G33-1),1,""))</f>
        <v/>
      </c>
      <c r="O33" s="126" t="str">
        <f ca="1">IF(AND($C33="Goal",O$7&gt;=$F33,O$7&lt;=$F33+$G33-1),2,IF(AND($C33="Milestone",O$7&gt;=$F33,O$7&lt;=$F33+$G33-1),1,""))</f>
        <v/>
      </c>
      <c r="P33" s="126" t="str">
        <f ca="1">IF(AND($C33="Goal",P$7&gt;=$F33,P$7&lt;=$F33+$G33-1),2,IF(AND($C33="Milestone",P$7&gt;=$F33,P$7&lt;=$F33+$G33-1),1,""))</f>
        <v/>
      </c>
      <c r="Q33" s="126" t="str">
        <f ca="1">IF(AND($C33="Goal",Q$7&gt;=$F33,Q$7&lt;=$F33+$G33-1),2,IF(AND($C33="Milestone",Q$7&gt;=$F33,Q$7&lt;=$F33+$G33-1),1,""))</f>
        <v/>
      </c>
      <c r="R33" s="126" t="str">
        <f ca="1">IF(AND($C33="Goal",R$7&gt;=$F33,R$7&lt;=$F33+$G33-1),2,IF(AND($C33="Milestone",R$7&gt;=$F33,R$7&lt;=$F33+$G33-1),1,""))</f>
        <v/>
      </c>
      <c r="S33" s="126" t="str">
        <f ca="1">IF(AND($C33="Goal",S$7&gt;=$F33,S$7&lt;=$F33+$G33-1),2,IF(AND($C33="Milestone",S$7&gt;=$F33,S$7&lt;=$F33+$G33-1),1,""))</f>
        <v/>
      </c>
      <c r="T33" s="126" t="str">
        <f ca="1">IF(AND($C33="Goal",T$7&gt;=$F33,T$7&lt;=$F33+$G33-1),2,IF(AND($C33="Milestone",T$7&gt;=$F33,T$7&lt;=$F33+$G33-1),1,""))</f>
        <v/>
      </c>
      <c r="U33" s="126" t="str">
        <f ca="1">IF(AND($C33="Goal",U$7&gt;=$F33,U$7&lt;=$F33+$G33-1),2,IF(AND($C33="Milestone",U$7&gt;=$F33,U$7&lt;=$F33+$G33-1),1,""))</f>
        <v/>
      </c>
      <c r="V33" s="126" t="str">
        <f ca="1">IF(AND($C33="Goal",V$7&gt;=$F33,V$7&lt;=$F33+$G33-1),2,IF(AND($C33="Milestone",V$7&gt;=$F33,V$7&lt;=$F33+$G33-1),1,""))</f>
        <v/>
      </c>
      <c r="W33" s="126" t="str">
        <f ca="1">IF(AND($C33="Goal",W$7&gt;=$F33,W$7&lt;=$F33+$G33-1),2,IF(AND($C33="Milestone",W$7&gt;=$F33,W$7&lt;=$F33+$G33-1),1,""))</f>
        <v/>
      </c>
      <c r="X33" s="126" t="str">
        <f ca="1">IF(AND($C33="Goal",X$7&gt;=$F33,X$7&lt;=$F33+$G33-1),2,IF(AND($C33="Milestone",X$7&gt;=$F33,X$7&lt;=$F33+$G33-1),1,""))</f>
        <v/>
      </c>
      <c r="Y33" s="126" t="str">
        <f ca="1">IF(AND($C33="Goal",Y$7&gt;=$F33,Y$7&lt;=$F33+$G33-1),2,IF(AND($C33="Milestone",Y$7&gt;=$F33,Y$7&lt;=$F33+$G33-1),1,""))</f>
        <v/>
      </c>
      <c r="Z33" s="126" t="str">
        <f ca="1">IF(AND($C33="Goal",Z$7&gt;=$F33,Z$7&lt;=$F33+$G33-1),2,IF(AND($C33="Milestone",Z$7&gt;=$F33,Z$7&lt;=$F33+$G33-1),1,""))</f>
        <v/>
      </c>
      <c r="AA33" s="126" t="str">
        <f ca="1">IF(AND($C33="Goal",AA$7&gt;=$F33,AA$7&lt;=$F33+$G33-1),2,IF(AND($C33="Milestone",AA$7&gt;=$F33,AA$7&lt;=$F33+$G33-1),1,""))</f>
        <v/>
      </c>
      <c r="AB33" s="126" t="str">
        <f ca="1">IF(AND($C33="Goal",AB$7&gt;=$F33,AB$7&lt;=$F33+$G33-1),2,IF(AND($C33="Milestone",AB$7&gt;=$F33,AB$7&lt;=$F33+$G33-1),1,""))</f>
        <v/>
      </c>
      <c r="AC33" s="126" t="str">
        <f ca="1">IF(AND($C33="Goal",AC$7&gt;=$F33,AC$7&lt;=$F33+$G33-1),2,IF(AND($C33="Milestone",AC$7&gt;=$F33,AC$7&lt;=$F33+$G33-1),1,""))</f>
        <v/>
      </c>
      <c r="AD33" s="126" t="str">
        <f ca="1">IF(AND($C33="Goal",AD$7&gt;=$F33,AD$7&lt;=$F33+$G33-1),2,IF(AND($C33="Milestone",AD$7&gt;=$F33,AD$7&lt;=$F33+$G33-1),1,""))</f>
        <v/>
      </c>
      <c r="AE33" s="126" t="str">
        <f ca="1">IF(AND($C33="Goal",AE$7&gt;=$F33,AE$7&lt;=$F33+$G33-1),2,IF(AND($C33="Milestone",AE$7&gt;=$F33,AE$7&lt;=$F33+$G33-1),1,""))</f>
        <v/>
      </c>
      <c r="AF33" s="126" t="str">
        <f ca="1">IF(AND($C33="Goal",AF$7&gt;=$F33,AF$7&lt;=$F33+$G33-1),2,IF(AND($C33="Milestone",AF$7&gt;=$F33,AF$7&lt;=$F33+$G33-1),1,""))</f>
        <v/>
      </c>
      <c r="AG33" s="126" t="str">
        <f ca="1">IF(AND($C33="Goal",AG$7&gt;=$F33,AG$7&lt;=$F33+$G33-1),2,IF(AND($C33="Milestone",AG$7&gt;=$F33,AG$7&lt;=$F33+$G33-1),1,""))</f>
        <v/>
      </c>
      <c r="AH33" s="126" t="str">
        <f ca="1">IF(AND($C33="Goal",AH$7&gt;=$F33,AH$7&lt;=$F33+$G33-1),2,IF(AND($C33="Milestone",AH$7&gt;=$F33,AH$7&lt;=$F33+$G33-1),1,""))</f>
        <v/>
      </c>
      <c r="AI33" s="126" t="str">
        <f ca="1">IF(AND($C33="Goal",AI$7&gt;=$F33,AI$7&lt;=$F33+$G33-1),2,IF(AND($C33="Milestone",AI$7&gt;=$F33,AI$7&lt;=$F33+$G33-1),1,""))</f>
        <v/>
      </c>
      <c r="AJ33" s="126" t="str">
        <f ca="1">IF(AND($C33="Goal",AJ$7&gt;=$F33,AJ$7&lt;=$F33+$G33-1),2,IF(AND($C33="Milestone",AJ$7&gt;=$F33,AJ$7&lt;=$F33+$G33-1),1,""))</f>
        <v/>
      </c>
      <c r="AK33" s="126" t="str">
        <f ca="1">IF(AND($C33="Goal",AK$7&gt;=$F33,AK$7&lt;=$F33+$G33-1),2,IF(AND($C33="Milestone",AK$7&gt;=$F33,AK$7&lt;=$F33+$G33-1),1,""))</f>
        <v/>
      </c>
      <c r="AL33" s="126" t="str">
        <f ca="1">IF(AND($C33="Goal",AL$7&gt;=$F33,AL$7&lt;=$F33+$G33-1),2,IF(AND($C33="Milestone",AL$7&gt;=$F33,AL$7&lt;=$F33+$G33-1),1,""))</f>
        <v/>
      </c>
      <c r="AM33" s="126" t="str">
        <f ca="1">IF(AND($C33="Goal",AM$7&gt;=$F33,AM$7&lt;=$F33+$G33-1),2,IF(AND($C33="Milestone",AM$7&gt;=$F33,AM$7&lt;=$F33+$G33-1),1,""))</f>
        <v/>
      </c>
      <c r="AN33" s="126" t="str">
        <f ca="1">IF(AND($C33="Goal",AN$7&gt;=$F33,AN$7&lt;=$F33+$G33-1),2,IF(AND($C33="Milestone",AN$7&gt;=$F33,AN$7&lt;=$F33+$G33-1),1,""))</f>
        <v/>
      </c>
      <c r="AO33" s="126" t="str">
        <f ca="1">IF(AND($C33="Goal",AO$7&gt;=$F33,AO$7&lt;=$F33+$G33-1),2,IF(AND($C33="Milestone",AO$7&gt;=$F33,AO$7&lt;=$F33+$G33-1),1,""))</f>
        <v/>
      </c>
      <c r="AP33" s="126" t="str">
        <f ca="1">IF(AND($C33="Goal",AP$7&gt;=$F33,AP$7&lt;=$F33+$G33-1),2,IF(AND($C33="Milestone",AP$7&gt;=$F33,AP$7&lt;=$F33+$G33-1),1,""))</f>
        <v/>
      </c>
      <c r="AQ33" s="126" t="str">
        <f ca="1">IF(AND($C33="Goal",AQ$7&gt;=$F33,AQ$7&lt;=$F33+$G33-1),2,IF(AND($C33="Milestone",AQ$7&gt;=$F33,AQ$7&lt;=$F33+$G33-1),1,""))</f>
        <v/>
      </c>
      <c r="AR33" s="126" t="str">
        <f ca="1">IF(AND($C33="Goal",AR$7&gt;=$F33,AR$7&lt;=$F33+$G33-1),2,IF(AND($C33="Milestone",AR$7&gt;=$F33,AR$7&lt;=$F33+$G33-1),1,""))</f>
        <v/>
      </c>
      <c r="AS33" s="126" t="str">
        <f ca="1">IF(AND($C33="Goal",AS$7&gt;=$F33,AS$7&lt;=$F33+$G33-1),2,IF(AND($C33="Milestone",AS$7&gt;=$F33,AS$7&lt;=$F33+$G33-1),1,""))</f>
        <v/>
      </c>
      <c r="AT33" s="126" t="str">
        <f ca="1">IF(AND($C33="Goal",AT$7&gt;=$F33,AT$7&lt;=$F33+$G33-1),2,IF(AND($C33="Milestone",AT$7&gt;=$F33,AT$7&lt;=$F33+$G33-1),1,""))</f>
        <v/>
      </c>
      <c r="AU33" s="126" t="str">
        <f ca="1">IF(AND($C33="Goal",AU$7&gt;=$F33,AU$7&lt;=$F33+$G33-1),2,IF(AND($C33="Milestone",AU$7&gt;=$F33,AU$7&lt;=$F33+$G33-1),1,""))</f>
        <v/>
      </c>
      <c r="AV33" s="126" t="str">
        <f ca="1">IF(AND($C33="Goal",AV$7&gt;=$F33,AV$7&lt;=$F33+$G33-1),2,IF(AND($C33="Milestone",AV$7&gt;=$F33,AV$7&lt;=$F33+$G33-1),1,""))</f>
        <v/>
      </c>
      <c r="AW33" s="126" t="str">
        <f ca="1">IF(AND($C33="Goal",AW$7&gt;=$F33,AW$7&lt;=$F33+$G33-1),2,IF(AND($C33="Milestone",AW$7&gt;=$F33,AW$7&lt;=$F33+$G33-1),1,""))</f>
        <v/>
      </c>
      <c r="AX33" s="126" t="str">
        <f ca="1">IF(AND($C33="Goal",AX$7&gt;=$F33,AX$7&lt;=$F33+$G33-1),2,IF(AND($C33="Milestone",AX$7&gt;=$F33,AX$7&lt;=$F33+$G33-1),1,""))</f>
        <v/>
      </c>
      <c r="AY33" s="126" t="str">
        <f ca="1">IF(AND($C33="Goal",AY$7&gt;=$F33,AY$7&lt;=$F33+$G33-1),2,IF(AND($C33="Milestone",AY$7&gt;=$F33,AY$7&lt;=$F33+$G33-1),1,""))</f>
        <v/>
      </c>
      <c r="AZ33" s="126" t="str">
        <f ca="1">IF(AND($C33="Goal",AZ$7&gt;=$F33,AZ$7&lt;=$F33+$G33-1),2,IF(AND($C33="Milestone",AZ$7&gt;=$F33,AZ$7&lt;=$F33+$G33-1),1,""))</f>
        <v/>
      </c>
      <c r="BA33" s="126" t="str">
        <f ca="1">IF(AND($C33="Goal",BA$7&gt;=$F33,BA$7&lt;=$F33+$G33-1),2,IF(AND($C33="Milestone",BA$7&gt;=$F33,BA$7&lt;=$F33+$G33-1),1,""))</f>
        <v/>
      </c>
      <c r="BB33" s="126" t="str">
        <f ca="1">IF(AND($C33="Goal",BB$7&gt;=$F33,BB$7&lt;=$F33+$G33-1),2,IF(AND($C33="Milestone",BB$7&gt;=$F33,BB$7&lt;=$F33+$G33-1),1,""))</f>
        <v/>
      </c>
      <c r="BC33" s="126" t="str">
        <f ca="1">IF(AND($C33="Goal",BC$7&gt;=$F33,BC$7&lt;=$F33+$G33-1),2,IF(AND($C33="Milestone",BC$7&gt;=$F33,BC$7&lt;=$F33+$G33-1),1,""))</f>
        <v/>
      </c>
      <c r="BD33" s="126" t="str">
        <f ca="1">IF(AND($C33="Goal",BD$7&gt;=$F33,BD$7&lt;=$F33+$G33-1),2,IF(AND($C33="Milestone",BD$7&gt;=$F33,BD$7&lt;=$F33+$G33-1),1,""))</f>
        <v/>
      </c>
      <c r="BE33" s="126" t="str">
        <f ca="1">IF(AND($C33="Goal",BE$7&gt;=$F33,BE$7&lt;=$F33+$G33-1),2,IF(AND($C33="Milestone",BE$7&gt;=$F33,BE$7&lt;=$F33+$G33-1),1,""))</f>
        <v/>
      </c>
      <c r="BF33" s="126" t="str">
        <f ca="1">IF(AND($C33="Goal",BF$7&gt;=$F33,BF$7&lt;=$F33+$G33-1),2,IF(AND($C33="Milestone",BF$7&gt;=$F33,BF$7&lt;=$F33+$G33-1),1,""))</f>
        <v/>
      </c>
      <c r="BG33" s="126" t="str">
        <f ca="1">IF(AND($C33="Goal",BG$7&gt;=$F33,BG$7&lt;=$F33+$G33-1),2,IF(AND($C33="Milestone",BG$7&gt;=$F33,BG$7&lt;=$F33+$G33-1),1,""))</f>
        <v/>
      </c>
      <c r="BH33" s="126" t="str">
        <f ca="1">IF(AND($C33="Goal",BH$7&gt;=$F33,BH$7&lt;=$F33+$G33-1),2,IF(AND($C33="Milestone",BH$7&gt;=$F33,BH$7&lt;=$F33+$G33-1),1,""))</f>
        <v/>
      </c>
      <c r="BI33" s="126" t="str">
        <f ca="1">IF(AND($C33="Goal",BI$7&gt;=$F33,BI$7&lt;=$F33+$G33-1),2,IF(AND($C33="Milestone",BI$7&gt;=$F33,BI$7&lt;=$F33+$G33-1),1,""))</f>
        <v/>
      </c>
      <c r="BJ33" s="126" t="str">
        <f ca="1">IF(AND($C33="Goal",BJ$7&gt;=$F33,BJ$7&lt;=$F33+$G33-1),2,IF(AND($C33="Milestone",BJ$7&gt;=$F33,BJ$7&lt;=$F33+$G33-1),1,""))</f>
        <v/>
      </c>
      <c r="BK33" s="126" t="str">
        <f ca="1">IF(AND($C33="Goal",BK$7&gt;=$F33,BK$7&lt;=$F33+$G33-1),2,IF(AND($C33="Milestone",BK$7&gt;=$F33,BK$7&lt;=$F33+$G33-1),1,""))</f>
        <v/>
      </c>
      <c r="BL33" s="126" t="str">
        <f ca="1">IF(AND($C33="Goal",BL$7&gt;=$F33,BL$7&lt;=$F33+$G33-1),2,IF(AND($C33="Milestone",BL$7&gt;=$F33,BL$7&lt;=$F33+$G33-1),1,""))</f>
        <v/>
      </c>
      <c r="BM33" s="27"/>
    </row>
    <row r="34" spans="1:65" s="1" customFormat="1" ht="40" customHeight="1" x14ac:dyDescent="0.35">
      <c r="A34" s="9"/>
      <c r="B34" s="144"/>
      <c r="C34" s="21"/>
      <c r="D34" s="21"/>
      <c r="E34" s="22"/>
      <c r="F34" s="23"/>
      <c r="G34" s="24"/>
      <c r="H34" s="19"/>
      <c r="I34" s="125" t="str">
        <f ca="1">IF(AND($C35="Goal",I$7&gt;=$F35,I$7&lt;=$F35+$G35-1),2,IF(AND($C35="Milestone",I$7&gt;=$F35,I$7&lt;=$F35+$G35-1),1,""))</f>
        <v/>
      </c>
      <c r="J34" s="126" t="str">
        <f ca="1">IF(AND($C35="Goal",J$7&gt;=$F35,J$7&lt;=$F35+$G35-1),2,IF(AND($C35="Milestone",J$7&gt;=$F35,J$7&lt;=$F35+$G35-1),1,""))</f>
        <v/>
      </c>
      <c r="K34" s="126" t="str">
        <f ca="1">IF(AND($C35="Goal",K$7&gt;=$F35,K$7&lt;=$F35+$G35-1),2,IF(AND($C35="Milestone",K$7&gt;=$F35,K$7&lt;=$F35+$G35-1),1,""))</f>
        <v/>
      </c>
      <c r="L34" s="126" t="str">
        <f ca="1">IF(AND($C35="Goal",L$7&gt;=$F35,L$7&lt;=$F35+$G35-1),2,IF(AND($C35="Milestone",L$7&gt;=$F35,L$7&lt;=$F35+$G35-1),1,""))</f>
        <v/>
      </c>
      <c r="M34" s="126" t="str">
        <f ca="1">IF(AND($C35="Goal",M$7&gt;=$F35,M$7&lt;=$F35+$G35-1),2,IF(AND($C35="Milestone",M$7&gt;=$F35,M$7&lt;=$F35+$G35-1),1,""))</f>
        <v/>
      </c>
      <c r="N34" s="126" t="str">
        <f ca="1">IF(AND($C35="Goal",N$7&gt;=$F35,N$7&lt;=$F35+$G35-1),2,IF(AND($C35="Milestone",N$7&gt;=$F35,N$7&lt;=$F35+$G35-1),1,""))</f>
        <v/>
      </c>
      <c r="O34" s="126" t="str">
        <f ca="1">IF(AND($C35="Goal",O$7&gt;=$F35,O$7&lt;=$F35+$G35-1),2,IF(AND($C35="Milestone",O$7&gt;=$F35,O$7&lt;=$F35+$G35-1),1,""))</f>
        <v/>
      </c>
      <c r="P34" s="126" t="str">
        <f ca="1">IF(AND($C35="Goal",P$7&gt;=$F35,P$7&lt;=$F35+$G35-1),2,IF(AND($C35="Milestone",P$7&gt;=$F35,P$7&lt;=$F35+$G35-1),1,""))</f>
        <v/>
      </c>
      <c r="Q34" s="126" t="str">
        <f ca="1">IF(AND($C35="Goal",Q$7&gt;=$F35,Q$7&lt;=$F35+$G35-1),2,IF(AND($C35="Milestone",Q$7&gt;=$F35,Q$7&lt;=$F35+$G35-1),1,""))</f>
        <v/>
      </c>
      <c r="R34" s="126" t="str">
        <f ca="1">IF(AND($C35="Goal",R$7&gt;=$F35,R$7&lt;=$F35+$G35-1),2,IF(AND($C35="Milestone",R$7&gt;=$F35,R$7&lt;=$F35+$G35-1),1,""))</f>
        <v/>
      </c>
      <c r="S34" s="126" t="str">
        <f ca="1">IF(AND($C35="Goal",S$7&gt;=$F35,S$7&lt;=$F35+$G35-1),2,IF(AND($C35="Milestone",S$7&gt;=$F35,S$7&lt;=$F35+$G35-1),1,""))</f>
        <v/>
      </c>
      <c r="T34" s="126" t="str">
        <f ca="1">IF(AND($C35="Goal",T$7&gt;=$F35,T$7&lt;=$F35+$G35-1),2,IF(AND($C35="Milestone",T$7&gt;=$F35,T$7&lt;=$F35+$G35-1),1,""))</f>
        <v/>
      </c>
      <c r="U34" s="126" t="str">
        <f ca="1">IF(AND($C35="Goal",U$7&gt;=$F35,U$7&lt;=$F35+$G35-1),2,IF(AND($C35="Milestone",U$7&gt;=$F35,U$7&lt;=$F35+$G35-1),1,""))</f>
        <v/>
      </c>
      <c r="V34" s="126" t="str">
        <f ca="1">IF(AND($C35="Goal",V$7&gt;=$F35,V$7&lt;=$F35+$G35-1),2,IF(AND($C35="Milestone",V$7&gt;=$F35,V$7&lt;=$F35+$G35-1),1,""))</f>
        <v/>
      </c>
      <c r="W34" s="126" t="str">
        <f ca="1">IF(AND($C35="Goal",W$7&gt;=$F35,W$7&lt;=$F35+$G35-1),2,IF(AND($C35="Milestone",W$7&gt;=$F35,W$7&lt;=$F35+$G35-1),1,""))</f>
        <v/>
      </c>
      <c r="X34" s="126" t="str">
        <f ca="1">IF(AND($C35="Goal",X$7&gt;=$F35,X$7&lt;=$F35+$G35-1),2,IF(AND($C35="Milestone",X$7&gt;=$F35,X$7&lt;=$F35+$G35-1),1,""))</f>
        <v/>
      </c>
      <c r="Y34" s="126" t="str">
        <f ca="1">IF(AND($C35="Goal",Y$7&gt;=$F35,Y$7&lt;=$F35+$G35-1),2,IF(AND($C35="Milestone",Y$7&gt;=$F35,Y$7&lt;=$F35+$G35-1),1,""))</f>
        <v/>
      </c>
      <c r="Z34" s="126" t="str">
        <f ca="1">IF(AND($C35="Goal",Z$7&gt;=$F35,Z$7&lt;=$F35+$G35-1),2,IF(AND($C35="Milestone",Z$7&gt;=$F35,Z$7&lt;=$F35+$G35-1),1,""))</f>
        <v/>
      </c>
      <c r="AA34" s="126" t="str">
        <f ca="1">IF(AND($C35="Goal",AA$7&gt;=$F35,AA$7&lt;=$F35+$G35-1),2,IF(AND($C35="Milestone",AA$7&gt;=$F35,AA$7&lt;=$F35+$G35-1),1,""))</f>
        <v/>
      </c>
      <c r="AB34" s="126" t="str">
        <f ca="1">IF(AND($C35="Goal",AB$7&gt;=$F35,AB$7&lt;=$F35+$G35-1),2,IF(AND($C35="Milestone",AB$7&gt;=$F35,AB$7&lt;=$F35+$G35-1),1,""))</f>
        <v/>
      </c>
      <c r="AC34" s="126" t="str">
        <f ca="1">IF(AND($C35="Goal",AC$7&gt;=$F35,AC$7&lt;=$F35+$G35-1),2,IF(AND($C35="Milestone",AC$7&gt;=$F35,AC$7&lt;=$F35+$G35-1),1,""))</f>
        <v/>
      </c>
      <c r="AD34" s="126" t="str">
        <f ca="1">IF(AND($C35="Goal",AD$7&gt;=$F35,AD$7&lt;=$F35+$G35-1),2,IF(AND($C35="Milestone",AD$7&gt;=$F35,AD$7&lt;=$F35+$G35-1),1,""))</f>
        <v/>
      </c>
      <c r="AE34" s="126" t="str">
        <f ca="1">IF(AND($C35="Goal",AE$7&gt;=$F35,AE$7&lt;=$F35+$G35-1),2,IF(AND($C35="Milestone",AE$7&gt;=$F35,AE$7&lt;=$F35+$G35-1),1,""))</f>
        <v/>
      </c>
      <c r="AF34" s="126" t="str">
        <f ca="1">IF(AND($C35="Goal",AF$7&gt;=$F35,AF$7&lt;=$F35+$G35-1),2,IF(AND($C35="Milestone",AF$7&gt;=$F35,AF$7&lt;=$F35+$G35-1),1,""))</f>
        <v/>
      </c>
      <c r="AG34" s="126" t="str">
        <f ca="1">IF(AND($C35="Goal",AG$7&gt;=$F35,AG$7&lt;=$F35+$G35-1),2,IF(AND($C35="Milestone",AG$7&gt;=$F35,AG$7&lt;=$F35+$G35-1),1,""))</f>
        <v/>
      </c>
      <c r="AH34" s="126" t="str">
        <f ca="1">IF(AND($C35="Goal",AH$7&gt;=$F35,AH$7&lt;=$F35+$G35-1),2,IF(AND($C35="Milestone",AH$7&gt;=$F35,AH$7&lt;=$F35+$G35-1),1,""))</f>
        <v/>
      </c>
      <c r="AI34" s="126" t="str">
        <f ca="1">IF(AND($C35="Goal",AI$7&gt;=$F35,AI$7&lt;=$F35+$G35-1),2,IF(AND($C35="Milestone",AI$7&gt;=$F35,AI$7&lt;=$F35+$G35-1),1,""))</f>
        <v/>
      </c>
      <c r="AJ34" s="126" t="str">
        <f ca="1">IF(AND($C35="Goal",AJ$7&gt;=$F35,AJ$7&lt;=$F35+$G35-1),2,IF(AND($C35="Milestone",AJ$7&gt;=$F35,AJ$7&lt;=$F35+$G35-1),1,""))</f>
        <v/>
      </c>
      <c r="AK34" s="126" t="str">
        <f ca="1">IF(AND($C35="Goal",AK$7&gt;=$F35,AK$7&lt;=$F35+$G35-1),2,IF(AND($C35="Milestone",AK$7&gt;=$F35,AK$7&lt;=$F35+$G35-1),1,""))</f>
        <v/>
      </c>
      <c r="AL34" s="126" t="str">
        <f ca="1">IF(AND($C35="Goal",AL$7&gt;=$F35,AL$7&lt;=$F35+$G35-1),2,IF(AND($C35="Milestone",AL$7&gt;=$F35,AL$7&lt;=$F35+$G35-1),1,""))</f>
        <v/>
      </c>
      <c r="AM34" s="126" t="str">
        <f ca="1">IF(AND($C35="Goal",AM$7&gt;=$F35,AM$7&lt;=$F35+$G35-1),2,IF(AND($C35="Milestone",AM$7&gt;=$F35,AM$7&lt;=$F35+$G35-1),1,""))</f>
        <v/>
      </c>
      <c r="AN34" s="126" t="str">
        <f ca="1">IF(AND($C35="Goal",AN$7&gt;=$F35,AN$7&lt;=$F35+$G35-1),2,IF(AND($C35="Milestone",AN$7&gt;=$F35,AN$7&lt;=$F35+$G35-1),1,""))</f>
        <v/>
      </c>
      <c r="AO34" s="126" t="str">
        <f ca="1">IF(AND($C35="Goal",AO$7&gt;=$F35,AO$7&lt;=$F35+$G35-1),2,IF(AND($C35="Milestone",AO$7&gt;=$F35,AO$7&lt;=$F35+$G35-1),1,""))</f>
        <v/>
      </c>
      <c r="AP34" s="126" t="str">
        <f ca="1">IF(AND($C35="Goal",AP$7&gt;=$F35,AP$7&lt;=$F35+$G35-1),2,IF(AND($C35="Milestone",AP$7&gt;=$F35,AP$7&lt;=$F35+$G35-1),1,""))</f>
        <v/>
      </c>
      <c r="AQ34" s="126" t="str">
        <f ca="1">IF(AND($C35="Goal",AQ$7&gt;=$F35,AQ$7&lt;=$F35+$G35-1),2,IF(AND($C35="Milestone",AQ$7&gt;=$F35,AQ$7&lt;=$F35+$G35-1),1,""))</f>
        <v/>
      </c>
      <c r="AR34" s="126" t="str">
        <f ca="1">IF(AND($C35="Goal",AR$7&gt;=$F35,AR$7&lt;=$F35+$G35-1),2,IF(AND($C35="Milestone",AR$7&gt;=$F35,AR$7&lt;=$F35+$G35-1),1,""))</f>
        <v/>
      </c>
      <c r="AS34" s="126" t="str">
        <f ca="1">IF(AND($C35="Goal",AS$7&gt;=$F35,AS$7&lt;=$F35+$G35-1),2,IF(AND($C35="Milestone",AS$7&gt;=$F35,AS$7&lt;=$F35+$G35-1),1,""))</f>
        <v/>
      </c>
      <c r="AT34" s="126" t="str">
        <f ca="1">IF(AND($C35="Goal",AT$7&gt;=$F35,AT$7&lt;=$F35+$G35-1),2,IF(AND($C35="Milestone",AT$7&gt;=$F35,AT$7&lt;=$F35+$G35-1),1,""))</f>
        <v/>
      </c>
      <c r="AU34" s="126" t="str">
        <f ca="1">IF(AND($C35="Goal",AU$7&gt;=$F35,AU$7&lt;=$F35+$G35-1),2,IF(AND($C35="Milestone",AU$7&gt;=$F35,AU$7&lt;=$F35+$G35-1),1,""))</f>
        <v/>
      </c>
      <c r="AV34" s="126" t="str">
        <f ca="1">IF(AND($C35="Goal",AV$7&gt;=$F35,AV$7&lt;=$F35+$G35-1),2,IF(AND($C35="Milestone",AV$7&gt;=$F35,AV$7&lt;=$F35+$G35-1),1,""))</f>
        <v/>
      </c>
      <c r="AW34" s="126" t="str">
        <f ca="1">IF(AND($C35="Goal",AW$7&gt;=$F35,AW$7&lt;=$F35+$G35-1),2,IF(AND($C35="Milestone",AW$7&gt;=$F35,AW$7&lt;=$F35+$G35-1),1,""))</f>
        <v/>
      </c>
      <c r="AX34" s="126" t="str">
        <f ca="1">IF(AND($C35="Goal",AX$7&gt;=$F35,AX$7&lt;=$F35+$G35-1),2,IF(AND($C35="Milestone",AX$7&gt;=$F35,AX$7&lt;=$F35+$G35-1),1,""))</f>
        <v/>
      </c>
      <c r="AY34" s="126" t="str">
        <f ca="1">IF(AND($C35="Goal",AY$7&gt;=$F35,AY$7&lt;=$F35+$G35-1),2,IF(AND($C35="Milestone",AY$7&gt;=$F35,AY$7&lt;=$F35+$G35-1),1,""))</f>
        <v/>
      </c>
      <c r="AZ34" s="126" t="str">
        <f ca="1">IF(AND($C35="Goal",AZ$7&gt;=$F35,AZ$7&lt;=$F35+$G35-1),2,IF(AND($C35="Milestone",AZ$7&gt;=$F35,AZ$7&lt;=$F35+$G35-1),1,""))</f>
        <v/>
      </c>
      <c r="BA34" s="126" t="str">
        <f ca="1">IF(AND($C35="Goal",BA$7&gt;=$F35,BA$7&lt;=$F35+$G35-1),2,IF(AND($C35="Milestone",BA$7&gt;=$F35,BA$7&lt;=$F35+$G35-1),1,""))</f>
        <v/>
      </c>
      <c r="BB34" s="126" t="str">
        <f ca="1">IF(AND($C35="Goal",BB$7&gt;=$F35,BB$7&lt;=$F35+$G35-1),2,IF(AND($C35="Milestone",BB$7&gt;=$F35,BB$7&lt;=$F35+$G35-1),1,""))</f>
        <v/>
      </c>
      <c r="BC34" s="126" t="str">
        <f ca="1">IF(AND($C35="Goal",BC$7&gt;=$F35,BC$7&lt;=$F35+$G35-1),2,IF(AND($C35="Milestone",BC$7&gt;=$F35,BC$7&lt;=$F35+$G35-1),1,""))</f>
        <v/>
      </c>
      <c r="BD34" s="126" t="str">
        <f ca="1">IF(AND($C35="Goal",BD$7&gt;=$F35,BD$7&lt;=$F35+$G35-1),2,IF(AND($C35="Milestone",BD$7&gt;=$F35,BD$7&lt;=$F35+$G35-1),1,""))</f>
        <v/>
      </c>
      <c r="BE34" s="126" t="str">
        <f ca="1">IF(AND($C35="Goal",BE$7&gt;=$F35,BE$7&lt;=$F35+$G35-1),2,IF(AND($C35="Milestone",BE$7&gt;=$F35,BE$7&lt;=$F35+$G35-1),1,""))</f>
        <v/>
      </c>
      <c r="BF34" s="126" t="str">
        <f ca="1">IF(AND($C35="Goal",BF$7&gt;=$F35,BF$7&lt;=$F35+$G35-1),2,IF(AND($C35="Milestone",BF$7&gt;=$F35,BF$7&lt;=$F35+$G35-1),1,""))</f>
        <v/>
      </c>
      <c r="BG34" s="126" t="str">
        <f ca="1">IF(AND($C35="Goal",BG$7&gt;=$F35,BG$7&lt;=$F35+$G35-1),2,IF(AND($C35="Milestone",BG$7&gt;=$F35,BG$7&lt;=$F35+$G35-1),1,""))</f>
        <v/>
      </c>
      <c r="BH34" s="126" t="str">
        <f ca="1">IF(AND($C35="Goal",BH$7&gt;=$F35,BH$7&lt;=$F35+$G35-1),2,IF(AND($C35="Milestone",BH$7&gt;=$F35,BH$7&lt;=$F35+$G35-1),1,""))</f>
        <v/>
      </c>
      <c r="BI34" s="126" t="str">
        <f ca="1">IF(AND($C35="Goal",BI$7&gt;=$F35,BI$7&lt;=$F35+$G35-1),2,IF(AND($C35="Milestone",BI$7&gt;=$F35,BI$7&lt;=$F35+$G35-1),1,""))</f>
        <v/>
      </c>
      <c r="BJ34" s="126" t="str">
        <f ca="1">IF(AND($C35="Goal",BJ$7&gt;=$F35,BJ$7&lt;=$F35+$G35-1),2,IF(AND($C35="Milestone",BJ$7&gt;=$F35,BJ$7&lt;=$F35+$G35-1),1,""))</f>
        <v/>
      </c>
      <c r="BK34" s="126" t="str">
        <f ca="1">IF(AND($C35="Goal",BK$7&gt;=$F35,BK$7&lt;=$F35+$G35-1),2,IF(AND($C35="Milestone",BK$7&gt;=$F35,BK$7&lt;=$F35+$G35-1),1,""))</f>
        <v/>
      </c>
      <c r="BL34" s="126" t="str">
        <f ca="1">IF(AND($C35="Goal",BL$7&gt;=$F35,BL$7&lt;=$F35+$G35-1),2,IF(AND($C35="Milestone",BL$7&gt;=$F35,BL$7&lt;=$F35+$G35-1),1,""))</f>
        <v/>
      </c>
      <c r="BM34" s="27"/>
    </row>
    <row r="35" spans="1:65" s="1" customFormat="1" ht="40" customHeight="1" x14ac:dyDescent="0.35">
      <c r="A35" s="9"/>
      <c r="B35" s="25"/>
      <c r="C35" s="21"/>
      <c r="D35" s="21"/>
      <c r="E35" s="22"/>
      <c r="F35" s="23"/>
      <c r="G35" s="24"/>
      <c r="H35" s="19"/>
      <c r="I35" s="125" t="str">
        <f ca="1">IF(AND($C36="Goal",I$7&gt;=$F36,I$7&lt;=$F36+$G36-1),2,IF(AND($C36="Milestone",I$7&gt;=$F36,I$7&lt;=$F36+$G36-1),1,""))</f>
        <v/>
      </c>
      <c r="J35" s="126" t="str">
        <f ca="1">IF(AND($C36="Goal",J$7&gt;=$F36,J$7&lt;=$F36+$G36-1),2,IF(AND($C36="Milestone",J$7&gt;=$F36,J$7&lt;=$F36+$G36-1),1,""))</f>
        <v/>
      </c>
      <c r="K35" s="126" t="str">
        <f ca="1">IF(AND($C36="Goal",K$7&gt;=$F36,K$7&lt;=$F36+$G36-1),2,IF(AND($C36="Milestone",K$7&gt;=$F36,K$7&lt;=$F36+$G36-1),1,""))</f>
        <v/>
      </c>
      <c r="L35" s="126" t="str">
        <f ca="1">IF(AND($C36="Goal",L$7&gt;=$F36,L$7&lt;=$F36+$G36-1),2,IF(AND($C36="Milestone",L$7&gt;=$F36,L$7&lt;=$F36+$G36-1),1,""))</f>
        <v/>
      </c>
      <c r="M35" s="126" t="str">
        <f ca="1">IF(AND($C36="Goal",M$7&gt;=$F36,M$7&lt;=$F36+$G36-1),2,IF(AND($C36="Milestone",M$7&gt;=$F36,M$7&lt;=$F36+$G36-1),1,""))</f>
        <v/>
      </c>
      <c r="N35" s="126" t="str">
        <f ca="1">IF(AND($C36="Goal",N$7&gt;=$F36,N$7&lt;=$F36+$G36-1),2,IF(AND($C36="Milestone",N$7&gt;=$F36,N$7&lt;=$F36+$G36-1),1,""))</f>
        <v/>
      </c>
      <c r="O35" s="126" t="str">
        <f ca="1">IF(AND($C36="Goal",O$7&gt;=$F36,O$7&lt;=$F36+$G36-1),2,IF(AND($C36="Milestone",O$7&gt;=$F36,O$7&lt;=$F36+$G36-1),1,""))</f>
        <v/>
      </c>
      <c r="P35" s="126" t="str">
        <f ca="1">IF(AND($C36="Goal",P$7&gt;=$F36,P$7&lt;=$F36+$G36-1),2,IF(AND($C36="Milestone",P$7&gt;=$F36,P$7&lt;=$F36+$G36-1),1,""))</f>
        <v/>
      </c>
      <c r="Q35" s="126" t="str">
        <f ca="1">IF(AND($C36="Goal",Q$7&gt;=$F36,Q$7&lt;=$F36+$G36-1),2,IF(AND($C36="Milestone",Q$7&gt;=$F36,Q$7&lt;=$F36+$G36-1),1,""))</f>
        <v/>
      </c>
      <c r="R35" s="126" t="str">
        <f ca="1">IF(AND($C36="Goal",R$7&gt;=$F36,R$7&lt;=$F36+$G36-1),2,IF(AND($C36="Milestone",R$7&gt;=$F36,R$7&lt;=$F36+$G36-1),1,""))</f>
        <v/>
      </c>
      <c r="S35" s="126" t="str">
        <f ca="1">IF(AND($C36="Goal",S$7&gt;=$F36,S$7&lt;=$F36+$G36-1),2,IF(AND($C36="Milestone",S$7&gt;=$F36,S$7&lt;=$F36+$G36-1),1,""))</f>
        <v/>
      </c>
      <c r="T35" s="126" t="str">
        <f ca="1">IF(AND($C36="Goal",T$7&gt;=$F36,T$7&lt;=$F36+$G36-1),2,IF(AND($C36="Milestone",T$7&gt;=$F36,T$7&lt;=$F36+$G36-1),1,""))</f>
        <v/>
      </c>
      <c r="U35" s="126" t="str">
        <f ca="1">IF(AND($C36="Goal",U$7&gt;=$F36,U$7&lt;=$F36+$G36-1),2,IF(AND($C36="Milestone",U$7&gt;=$F36,U$7&lt;=$F36+$G36-1),1,""))</f>
        <v/>
      </c>
      <c r="V35" s="126" t="str">
        <f ca="1">IF(AND($C36="Goal",V$7&gt;=$F36,V$7&lt;=$F36+$G36-1),2,IF(AND($C36="Milestone",V$7&gt;=$F36,V$7&lt;=$F36+$G36-1),1,""))</f>
        <v/>
      </c>
      <c r="W35" s="126" t="str">
        <f ca="1">IF(AND($C36="Goal",W$7&gt;=$F36,W$7&lt;=$F36+$G36-1),2,IF(AND($C36="Milestone",W$7&gt;=$F36,W$7&lt;=$F36+$G36-1),1,""))</f>
        <v/>
      </c>
      <c r="X35" s="126" t="str">
        <f ca="1">IF(AND($C36="Goal",X$7&gt;=$F36,X$7&lt;=$F36+$G36-1),2,IF(AND($C36="Milestone",X$7&gt;=$F36,X$7&lt;=$F36+$G36-1),1,""))</f>
        <v/>
      </c>
      <c r="Y35" s="126" t="str">
        <f ca="1">IF(AND($C36="Goal",Y$7&gt;=$F36,Y$7&lt;=$F36+$G36-1),2,IF(AND($C36="Milestone",Y$7&gt;=$F36,Y$7&lt;=$F36+$G36-1),1,""))</f>
        <v/>
      </c>
      <c r="Z35" s="126" t="str">
        <f ca="1">IF(AND($C36="Goal",Z$7&gt;=$F36,Z$7&lt;=$F36+$G36-1),2,IF(AND($C36="Milestone",Z$7&gt;=$F36,Z$7&lt;=$F36+$G36-1),1,""))</f>
        <v/>
      </c>
      <c r="AA35" s="126" t="str">
        <f ca="1">IF(AND($C36="Goal",AA$7&gt;=$F36,AA$7&lt;=$F36+$G36-1),2,IF(AND($C36="Milestone",AA$7&gt;=$F36,AA$7&lt;=$F36+$G36-1),1,""))</f>
        <v/>
      </c>
      <c r="AB35" s="126" t="str">
        <f ca="1">IF(AND($C36="Goal",AB$7&gt;=$F36,AB$7&lt;=$F36+$G36-1),2,IF(AND($C36="Milestone",AB$7&gt;=$F36,AB$7&lt;=$F36+$G36-1),1,""))</f>
        <v/>
      </c>
      <c r="AC35" s="126" t="str">
        <f ca="1">IF(AND($C36="Goal",AC$7&gt;=$F36,AC$7&lt;=$F36+$G36-1),2,IF(AND($C36="Milestone",AC$7&gt;=$F36,AC$7&lt;=$F36+$G36-1),1,""))</f>
        <v/>
      </c>
      <c r="AD35" s="126" t="str">
        <f ca="1">IF(AND($C36="Goal",AD$7&gt;=$F36,AD$7&lt;=$F36+$G36-1),2,IF(AND($C36="Milestone",AD$7&gt;=$F36,AD$7&lt;=$F36+$G36-1),1,""))</f>
        <v/>
      </c>
      <c r="AE35" s="126" t="str">
        <f ca="1">IF(AND($C36="Goal",AE$7&gt;=$F36,AE$7&lt;=$F36+$G36-1),2,IF(AND($C36="Milestone",AE$7&gt;=$F36,AE$7&lt;=$F36+$G36-1),1,""))</f>
        <v/>
      </c>
      <c r="AF35" s="126" t="str">
        <f ca="1">IF(AND($C36="Goal",AF$7&gt;=$F36,AF$7&lt;=$F36+$G36-1),2,IF(AND($C36="Milestone",AF$7&gt;=$F36,AF$7&lt;=$F36+$G36-1),1,""))</f>
        <v/>
      </c>
      <c r="AG35" s="126" t="str">
        <f ca="1">IF(AND($C36="Goal",AG$7&gt;=$F36,AG$7&lt;=$F36+$G36-1),2,IF(AND($C36="Milestone",AG$7&gt;=$F36,AG$7&lt;=$F36+$G36-1),1,""))</f>
        <v/>
      </c>
      <c r="AH35" s="126" t="str">
        <f ca="1">IF(AND($C36="Goal",AH$7&gt;=$F36,AH$7&lt;=$F36+$G36-1),2,IF(AND($C36="Milestone",AH$7&gt;=$F36,AH$7&lt;=$F36+$G36-1),1,""))</f>
        <v/>
      </c>
      <c r="AI35" s="126" t="str">
        <f ca="1">IF(AND($C36="Goal",AI$7&gt;=$F36,AI$7&lt;=$F36+$G36-1),2,IF(AND($C36="Milestone",AI$7&gt;=$F36,AI$7&lt;=$F36+$G36-1),1,""))</f>
        <v/>
      </c>
      <c r="AJ35" s="126" t="str">
        <f ca="1">IF(AND($C36="Goal",AJ$7&gt;=$F36,AJ$7&lt;=$F36+$G36-1),2,IF(AND($C36="Milestone",AJ$7&gt;=$F36,AJ$7&lt;=$F36+$G36-1),1,""))</f>
        <v/>
      </c>
      <c r="AK35" s="126" t="str">
        <f ca="1">IF(AND($C36="Goal",AK$7&gt;=$F36,AK$7&lt;=$F36+$G36-1),2,IF(AND($C36="Milestone",AK$7&gt;=$F36,AK$7&lt;=$F36+$G36-1),1,""))</f>
        <v/>
      </c>
      <c r="AL35" s="126" t="str">
        <f ca="1">IF(AND($C36="Goal",AL$7&gt;=$F36,AL$7&lt;=$F36+$G36-1),2,IF(AND($C36="Milestone",AL$7&gt;=$F36,AL$7&lt;=$F36+$G36-1),1,""))</f>
        <v/>
      </c>
      <c r="AM35" s="126" t="str">
        <f ca="1">IF(AND($C36="Goal",AM$7&gt;=$F36,AM$7&lt;=$F36+$G36-1),2,IF(AND($C36="Milestone",AM$7&gt;=$F36,AM$7&lt;=$F36+$G36-1),1,""))</f>
        <v/>
      </c>
      <c r="AN35" s="126" t="str">
        <f ca="1">IF(AND($C36="Goal",AN$7&gt;=$F36,AN$7&lt;=$F36+$G36-1),2,IF(AND($C36="Milestone",AN$7&gt;=$F36,AN$7&lt;=$F36+$G36-1),1,""))</f>
        <v/>
      </c>
      <c r="AO35" s="126" t="str">
        <f ca="1">IF(AND($C36="Goal",AO$7&gt;=$F36,AO$7&lt;=$F36+$G36-1),2,IF(AND($C36="Milestone",AO$7&gt;=$F36,AO$7&lt;=$F36+$G36-1),1,""))</f>
        <v/>
      </c>
      <c r="AP35" s="126" t="str">
        <f ca="1">IF(AND($C36="Goal",AP$7&gt;=$F36,AP$7&lt;=$F36+$G36-1),2,IF(AND($C36="Milestone",AP$7&gt;=$F36,AP$7&lt;=$F36+$G36-1),1,""))</f>
        <v/>
      </c>
      <c r="AQ35" s="126" t="str">
        <f ca="1">IF(AND($C36="Goal",AQ$7&gt;=$F36,AQ$7&lt;=$F36+$G36-1),2,IF(AND($C36="Milestone",AQ$7&gt;=$F36,AQ$7&lt;=$F36+$G36-1),1,""))</f>
        <v/>
      </c>
      <c r="AR35" s="126" t="str">
        <f ca="1">IF(AND($C36="Goal",AR$7&gt;=$F36,AR$7&lt;=$F36+$G36-1),2,IF(AND($C36="Milestone",AR$7&gt;=$F36,AR$7&lt;=$F36+$G36-1),1,""))</f>
        <v/>
      </c>
      <c r="AS35" s="126" t="str">
        <f ca="1">IF(AND($C36="Goal",AS$7&gt;=$F36,AS$7&lt;=$F36+$G36-1),2,IF(AND($C36="Milestone",AS$7&gt;=$F36,AS$7&lt;=$F36+$G36-1),1,""))</f>
        <v/>
      </c>
      <c r="AT35" s="126" t="str">
        <f ca="1">IF(AND($C36="Goal",AT$7&gt;=$F36,AT$7&lt;=$F36+$G36-1),2,IF(AND($C36="Milestone",AT$7&gt;=$F36,AT$7&lt;=$F36+$G36-1),1,""))</f>
        <v/>
      </c>
      <c r="AU35" s="126" t="str">
        <f ca="1">IF(AND($C36="Goal",AU$7&gt;=$F36,AU$7&lt;=$F36+$G36-1),2,IF(AND($C36="Milestone",AU$7&gt;=$F36,AU$7&lt;=$F36+$G36-1),1,""))</f>
        <v/>
      </c>
      <c r="AV35" s="126" t="str">
        <f ca="1">IF(AND($C36="Goal",AV$7&gt;=$F36,AV$7&lt;=$F36+$G36-1),2,IF(AND($C36="Milestone",AV$7&gt;=$F36,AV$7&lt;=$F36+$G36-1),1,""))</f>
        <v/>
      </c>
      <c r="AW35" s="126" t="str">
        <f ca="1">IF(AND($C36="Goal",AW$7&gt;=$F36,AW$7&lt;=$F36+$G36-1),2,IF(AND($C36="Milestone",AW$7&gt;=$F36,AW$7&lt;=$F36+$G36-1),1,""))</f>
        <v/>
      </c>
      <c r="AX35" s="126" t="str">
        <f ca="1">IF(AND($C36="Goal",AX$7&gt;=$F36,AX$7&lt;=$F36+$G36-1),2,IF(AND($C36="Milestone",AX$7&gt;=$F36,AX$7&lt;=$F36+$G36-1),1,""))</f>
        <v/>
      </c>
      <c r="AY35" s="126" t="str">
        <f ca="1">IF(AND($C36="Goal",AY$7&gt;=$F36,AY$7&lt;=$F36+$G36-1),2,IF(AND($C36="Milestone",AY$7&gt;=$F36,AY$7&lt;=$F36+$G36-1),1,""))</f>
        <v/>
      </c>
      <c r="AZ35" s="126" t="str">
        <f ca="1">IF(AND($C36="Goal",AZ$7&gt;=$F36,AZ$7&lt;=$F36+$G36-1),2,IF(AND($C36="Milestone",AZ$7&gt;=$F36,AZ$7&lt;=$F36+$G36-1),1,""))</f>
        <v/>
      </c>
      <c r="BA35" s="126" t="str">
        <f ca="1">IF(AND($C36="Goal",BA$7&gt;=$F36,BA$7&lt;=$F36+$G36-1),2,IF(AND($C36="Milestone",BA$7&gt;=$F36,BA$7&lt;=$F36+$G36-1),1,""))</f>
        <v/>
      </c>
      <c r="BB35" s="126" t="str">
        <f ca="1">IF(AND($C36="Goal",BB$7&gt;=$F36,BB$7&lt;=$F36+$G36-1),2,IF(AND($C36="Milestone",BB$7&gt;=$F36,BB$7&lt;=$F36+$G36-1),1,""))</f>
        <v/>
      </c>
      <c r="BC35" s="126" t="str">
        <f ca="1">IF(AND($C36="Goal",BC$7&gt;=$F36,BC$7&lt;=$F36+$G36-1),2,IF(AND($C36="Milestone",BC$7&gt;=$F36,BC$7&lt;=$F36+$G36-1),1,""))</f>
        <v/>
      </c>
      <c r="BD35" s="126" t="str">
        <f ca="1">IF(AND($C36="Goal",BD$7&gt;=$F36,BD$7&lt;=$F36+$G36-1),2,IF(AND($C36="Milestone",BD$7&gt;=$F36,BD$7&lt;=$F36+$G36-1),1,""))</f>
        <v/>
      </c>
      <c r="BE35" s="126" t="str">
        <f ca="1">IF(AND($C36="Goal",BE$7&gt;=$F36,BE$7&lt;=$F36+$G36-1),2,IF(AND($C36="Milestone",BE$7&gt;=$F36,BE$7&lt;=$F36+$G36-1),1,""))</f>
        <v/>
      </c>
      <c r="BF35" s="126" t="str">
        <f ca="1">IF(AND($C36="Goal",BF$7&gt;=$F36,BF$7&lt;=$F36+$G36-1),2,IF(AND($C36="Milestone",BF$7&gt;=$F36,BF$7&lt;=$F36+$G36-1),1,""))</f>
        <v/>
      </c>
      <c r="BG35" s="126" t="str">
        <f ca="1">IF(AND($C36="Goal",BG$7&gt;=$F36,BG$7&lt;=$F36+$G36-1),2,IF(AND($C36="Milestone",BG$7&gt;=$F36,BG$7&lt;=$F36+$G36-1),1,""))</f>
        <v/>
      </c>
      <c r="BH35" s="126" t="str">
        <f ca="1">IF(AND($C36="Goal",BH$7&gt;=$F36,BH$7&lt;=$F36+$G36-1),2,IF(AND($C36="Milestone",BH$7&gt;=$F36,BH$7&lt;=$F36+$G36-1),1,""))</f>
        <v/>
      </c>
      <c r="BI35" s="126" t="str">
        <f ca="1">IF(AND($C36="Goal",BI$7&gt;=$F36,BI$7&lt;=$F36+$G36-1),2,IF(AND($C36="Milestone",BI$7&gt;=$F36,BI$7&lt;=$F36+$G36-1),1,""))</f>
        <v/>
      </c>
      <c r="BJ35" s="126" t="str">
        <f ca="1">IF(AND($C36="Goal",BJ$7&gt;=$F36,BJ$7&lt;=$F36+$G36-1),2,IF(AND($C36="Milestone",BJ$7&gt;=$F36,BJ$7&lt;=$F36+$G36-1),1,""))</f>
        <v/>
      </c>
      <c r="BK35" s="126" t="str">
        <f ca="1">IF(AND($C36="Goal",BK$7&gt;=$F36,BK$7&lt;=$F36+$G36-1),2,IF(AND($C36="Milestone",BK$7&gt;=$F36,BK$7&lt;=$F36+$G36-1),1,""))</f>
        <v/>
      </c>
      <c r="BL35" s="126" t="str">
        <f ca="1">IF(AND($C36="Goal",BL$7&gt;=$F36,BL$7&lt;=$F36+$G36-1),2,IF(AND($C36="Milestone",BL$7&gt;=$F36,BL$7&lt;=$F36+$G36-1),1,""))</f>
        <v/>
      </c>
      <c r="BM35" s="64"/>
    </row>
    <row r="36" spans="1:65" s="1" customFormat="1" ht="40" customHeight="1" x14ac:dyDescent="0.35">
      <c r="A36" s="10"/>
      <c r="B36" s="25"/>
      <c r="C36" s="21"/>
      <c r="D36" s="21"/>
      <c r="E36" s="22"/>
      <c r="F36" s="23"/>
      <c r="G36" s="24"/>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35">
      <c r="B37" s="115" t="s">
        <v>17</v>
      </c>
      <c r="C37" s="54"/>
      <c r="D37" s="54"/>
      <c r="E37" s="31"/>
      <c r="F37" s="55"/>
      <c r="G37" s="56"/>
      <c r="H37" s="3"/>
    </row>
    <row r="38" spans="1:65" ht="30" customHeight="1" x14ac:dyDescent="0.35">
      <c r="D38" s="4"/>
      <c r="G38" s="11"/>
    </row>
    <row r="39" spans="1:65" ht="30" customHeight="1" x14ac:dyDescent="0.35">
      <c r="D39" s="5"/>
    </row>
  </sheetData>
  <mergeCells count="5">
    <mergeCell ref="Q4:T4"/>
    <mergeCell ref="B2:H2"/>
    <mergeCell ref="I2:N2"/>
    <mergeCell ref="O2:T2"/>
    <mergeCell ref="I4:L4"/>
  </mergeCells>
  <phoneticPr fontId="35" type="noConversion"/>
  <conditionalFormatting sqref="E9:E37">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32" priority="4">
      <formula>I$7&lt;=EOMONTH($I$7,0)</formula>
    </cfRule>
  </conditionalFormatting>
  <conditionalFormatting sqref="I6:BL6">
    <cfRule type="expression" dxfId="31" priority="2">
      <formula>AND(I$7&lt;=EOMONTH($I$7,1),I$7&gt;EOMONTH($I$7,0))</formula>
    </cfRule>
  </conditionalFormatting>
  <conditionalFormatting sqref="I7:BL36">
    <cfRule type="expression" dxfId="30" priority="1">
      <formula>AND(TODAY()&gt;=I$7,TODAY()&lt;J$7)</formula>
    </cfRule>
  </conditionalFormatting>
  <conditionalFormatting sqref="I10:BL33">
    <cfRule type="expression" dxfId="29" priority="7" stopIfTrue="1">
      <formula>AND($C10="Low Risk",I$7&gt;=$F10,I$7&lt;=$F10+$G10-1)</formula>
    </cfRule>
    <cfRule type="expression" dxfId="28" priority="8" stopIfTrue="1">
      <formula>AND($C10="High Risk",I$7&gt;=$F10,I$7&lt;=$F10+$G10-1)</formula>
    </cfRule>
    <cfRule type="expression" dxfId="27" priority="9" stopIfTrue="1">
      <formula>AND($C10="On Track",I$7&gt;=$F10,I$7&lt;=$F10+$G10-1)</formula>
    </cfRule>
    <cfRule type="expression" dxfId="26" priority="10" stopIfTrue="1">
      <formula>AND($C10="Med Risk",I$7&gt;=$F10,I$7&lt;=$F10+$G10-1)</formula>
    </cfRule>
    <cfRule type="expression" dxfId="25" priority="11" stopIfTrue="1">
      <formula>AND(LEN($C10)=0,I$7&gt;=$F10,I$7&lt;=$F10+$G10-1)</formula>
    </cfRule>
  </conditionalFormatting>
  <conditionalFormatting sqref="I36:BL36">
    <cfRule type="expression" dxfId="24" priority="13" stopIfTrue="1">
      <formula>AND(#REF!="Low Risk",I$7&gt;=#REF!,I$7&lt;=#REF!+#REF!-1)</formula>
    </cfRule>
    <cfRule type="expression" dxfId="23" priority="14" stopIfTrue="1">
      <formula>AND(#REF!="High Risk",I$7&gt;=#REF!,I$7&lt;=#REF!+#REF!-1)</formula>
    </cfRule>
    <cfRule type="expression" dxfId="22" priority="15" stopIfTrue="1">
      <formula>AND(#REF!="On Track",I$7&gt;=#REF!,I$7&lt;=#REF!+#REF!-1)</formula>
    </cfRule>
    <cfRule type="expression" dxfId="21" priority="16" stopIfTrue="1">
      <formula>AND(#REF!="Med Risk",I$7&gt;=#REF!,I$7&lt;=#REF!+#REF!-1)</formula>
    </cfRule>
    <cfRule type="expression" dxfId="20" priority="17" stopIfTrue="1">
      <formula>AND(LEN(#REF!)=0,I$7&gt;=#REF!,I$7&lt;=#REF!+#REF!-1)</formula>
    </cfRule>
  </conditionalFormatting>
  <conditionalFormatting sqref="J6:BL6">
    <cfRule type="expression" dxfId="19" priority="3">
      <formula>AND(J$7&lt;=EOMONTH($I$7,2),J$7&gt;EOMONTH($I$7,0),J$7&gt;EOMONTH($I$7,1))</formula>
    </cfRule>
  </conditionalFormatting>
  <conditionalFormatting sqref="I34:BL35">
    <cfRule type="expression" dxfId="18" priority="27" stopIfTrue="1">
      <formula>AND($C35="Low Risk",I$7&gt;=$F35,I$7&lt;=$F35+$G35-1)</formula>
    </cfRule>
    <cfRule type="expression" dxfId="17" priority="28" stopIfTrue="1">
      <formula>AND($C35="High Risk",I$7&gt;=$F35,I$7&lt;=$F35+$G35-1)</formula>
    </cfRule>
    <cfRule type="expression" dxfId="16" priority="29" stopIfTrue="1">
      <formula>AND($C35="On Track",I$7&gt;=$F35,I$7&lt;=$F35+$G35-1)</formula>
    </cfRule>
    <cfRule type="expression" dxfId="15" priority="30" stopIfTrue="1">
      <formula>AND($C35="Med Risk",I$7&gt;=$F35,I$7&lt;=$F35+$G35-1)</formula>
    </cfRule>
    <cfRule type="expression" dxfId="14" priority="31" stopIfTrue="1">
      <formula>AND(LEN($C35)=0,I$7&gt;=$F35,I$7&lt;=$F35+$G35-1)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6"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31750</xdr:colOff>
                    <xdr:row>7</xdr:row>
                    <xdr:rowOff>63500</xdr:rowOff>
                  </from>
                  <to>
                    <xdr:col>63</xdr:col>
                    <xdr:colOff>241300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E9:E37</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I10:BL33</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 xmlns:xm="http://schemas.microsoft.com/office/excel/2006/main">
          <x14:cfRule type="iconSet" priority="2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I34:BL35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90625" defaultRowHeight="30" customHeight="1" x14ac:dyDescent="0.35"/>
  <cols>
    <col min="1" max="1" width="4.81640625" style="9" customWidth="1"/>
    <col min="2" max="2" width="30.81640625" customWidth="1"/>
    <col min="3" max="3" width="13.36328125" bestFit="1" customWidth="1"/>
    <col min="4" max="4" width="20.54296875" customWidth="1"/>
    <col min="5" max="5" width="15.81640625" customWidth="1"/>
    <col min="6" max="6" width="10.453125" style="2" customWidth="1"/>
    <col min="7" max="7" width="10.453125" customWidth="1"/>
    <col min="8" max="8" width="2.6328125" customWidth="1"/>
    <col min="9" max="64" width="3.54296875" customWidth="1"/>
    <col min="65" max="65" width="2.6328125" customWidth="1"/>
  </cols>
  <sheetData>
    <row r="1" spans="1:68" ht="25" customHeight="1" x14ac:dyDescent="0.35"/>
    <row r="2" spans="1:68" ht="50" customHeight="1" x14ac:dyDescent="0.35">
      <c r="A2" s="10"/>
      <c r="B2" s="141" t="s">
        <v>31</v>
      </c>
      <c r="C2" s="141"/>
      <c r="D2" s="141"/>
      <c r="E2" s="141"/>
      <c r="F2" s="141"/>
      <c r="G2" s="141"/>
      <c r="H2" s="141"/>
      <c r="I2" s="142"/>
      <c r="J2" s="142"/>
      <c r="K2" s="142"/>
      <c r="L2" s="142"/>
      <c r="M2" s="142"/>
      <c r="N2" s="142"/>
      <c r="O2" s="143"/>
      <c r="P2" s="143"/>
      <c r="Q2" s="143"/>
      <c r="R2" s="143"/>
      <c r="S2" s="143"/>
      <c r="T2" s="143"/>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20" customHeight="1" x14ac:dyDescent="0.35">
      <c r="A3" s="10"/>
      <c r="B3" s="66"/>
      <c r="C3" s="67"/>
      <c r="D3" s="68"/>
      <c r="E3" s="68"/>
      <c r="F3" s="69"/>
      <c r="G3" s="68"/>
      <c r="H3" s="68"/>
      <c r="I3" s="82"/>
      <c r="J3" s="1"/>
      <c r="K3" s="1"/>
      <c r="L3" s="1"/>
    </row>
    <row r="4" spans="1:68" ht="30" customHeight="1" x14ac:dyDescent="0.35">
      <c r="A4" s="10"/>
      <c r="B4" s="70" t="s">
        <v>34</v>
      </c>
      <c r="C4" s="71"/>
      <c r="D4" s="72"/>
      <c r="E4" s="73"/>
      <c r="F4" s="74"/>
      <c r="G4" s="75" t="s">
        <v>15</v>
      </c>
      <c r="H4" s="73"/>
      <c r="I4" s="134" t="s">
        <v>21</v>
      </c>
      <c r="J4" s="134"/>
      <c r="K4" s="134"/>
      <c r="L4" s="134"/>
      <c r="N4" s="135" t="s">
        <v>22</v>
      </c>
      <c r="O4" s="135"/>
      <c r="P4" s="135"/>
      <c r="Q4" s="135"/>
      <c r="S4" s="136" t="s">
        <v>23</v>
      </c>
      <c r="T4" s="136"/>
      <c r="U4" s="136"/>
      <c r="V4" s="136"/>
      <c r="X4" s="129" t="s">
        <v>24</v>
      </c>
      <c r="Y4" s="129"/>
      <c r="Z4" s="129"/>
      <c r="AA4" s="129"/>
      <c r="AC4" s="130" t="s">
        <v>16</v>
      </c>
      <c r="AD4" s="130"/>
      <c r="AE4" s="130"/>
      <c r="AF4" s="130"/>
    </row>
    <row r="5" spans="1:68" ht="30" customHeight="1" x14ac:dyDescent="0.35">
      <c r="A5" s="10"/>
      <c r="B5" s="76" t="s">
        <v>58</v>
      </c>
      <c r="C5" s="72"/>
      <c r="D5" s="72"/>
      <c r="E5" s="73"/>
      <c r="F5" s="74"/>
      <c r="G5" s="73"/>
      <c r="H5" s="73"/>
    </row>
    <row r="6" spans="1:68" ht="30" customHeight="1" x14ac:dyDescent="0.5">
      <c r="A6" s="10"/>
      <c r="B6" s="77" t="s">
        <v>59</v>
      </c>
      <c r="C6" s="78" cm="1">
        <f t="array" aca="1" ref="C6" ca="1">IFERROR(IF(MIN(Milestones43524[Start])=0,TODAY(),B11(Milestones43524[Start])),TODAY())</f>
        <v>46297</v>
      </c>
      <c r="D6" s="79"/>
      <c r="E6" s="73"/>
      <c r="F6" s="74"/>
      <c r="G6" s="73"/>
      <c r="H6" s="73"/>
      <c r="I6" s="89" t="str">
        <f ca="1">TEXT(I7,"mmmm")</f>
        <v>October</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November</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35">
      <c r="A7" s="10"/>
      <c r="B7" s="77" t="s">
        <v>60</v>
      </c>
      <c r="C7" s="80">
        <v>5</v>
      </c>
      <c r="D7" s="72"/>
      <c r="E7" s="73"/>
      <c r="F7" s="73"/>
      <c r="G7" s="73"/>
      <c r="H7" s="81"/>
      <c r="I7" s="96">
        <f ca="1">IFERROR(Project_Start+Scrolling_Increment,TODAY())</f>
        <v>46302</v>
      </c>
      <c r="J7" s="97">
        <f ca="1">I7+1</f>
        <v>46303</v>
      </c>
      <c r="K7" s="97">
        <f t="shared" ref="K7:AX7" ca="1" si="0">J7+1</f>
        <v>46304</v>
      </c>
      <c r="L7" s="97">
        <f t="shared" ca="1" si="0"/>
        <v>46305</v>
      </c>
      <c r="M7" s="97">
        <f t="shared" ca="1" si="0"/>
        <v>46306</v>
      </c>
      <c r="N7" s="97">
        <f t="shared" ca="1" si="0"/>
        <v>46307</v>
      </c>
      <c r="O7" s="98">
        <f t="shared" ca="1" si="0"/>
        <v>46308</v>
      </c>
      <c r="P7" s="97">
        <f ca="1">O7+1</f>
        <v>46309</v>
      </c>
      <c r="Q7" s="97">
        <f ca="1">P7+1</f>
        <v>46310</v>
      </c>
      <c r="R7" s="97">
        <f t="shared" ca="1" si="0"/>
        <v>46311</v>
      </c>
      <c r="S7" s="97">
        <f t="shared" ca="1" si="0"/>
        <v>46312</v>
      </c>
      <c r="T7" s="97">
        <f t="shared" ca="1" si="0"/>
        <v>46313</v>
      </c>
      <c r="U7" s="97">
        <f t="shared" ca="1" si="0"/>
        <v>46314</v>
      </c>
      <c r="V7" s="98">
        <f t="shared" ca="1" si="0"/>
        <v>46315</v>
      </c>
      <c r="W7" s="97">
        <f ca="1">V7+1</f>
        <v>46316</v>
      </c>
      <c r="X7" s="97">
        <f ca="1">W7+1</f>
        <v>46317</v>
      </c>
      <c r="Y7" s="97">
        <f t="shared" ca="1" si="0"/>
        <v>46318</v>
      </c>
      <c r="Z7" s="97">
        <f t="shared" ca="1" si="0"/>
        <v>46319</v>
      </c>
      <c r="AA7" s="97">
        <f t="shared" ca="1" si="0"/>
        <v>46320</v>
      </c>
      <c r="AB7" s="97">
        <f t="shared" ca="1" si="0"/>
        <v>46321</v>
      </c>
      <c r="AC7" s="98">
        <f t="shared" ca="1" si="0"/>
        <v>46322</v>
      </c>
      <c r="AD7" s="97">
        <f ca="1">AC7+1</f>
        <v>46323</v>
      </c>
      <c r="AE7" s="97">
        <f ca="1">AD7+1</f>
        <v>46324</v>
      </c>
      <c r="AF7" s="97">
        <f t="shared" ca="1" si="0"/>
        <v>46325</v>
      </c>
      <c r="AG7" s="97">
        <f t="shared" ca="1" si="0"/>
        <v>46326</v>
      </c>
      <c r="AH7" s="97">
        <f t="shared" ca="1" si="0"/>
        <v>46327</v>
      </c>
      <c r="AI7" s="97">
        <f t="shared" ca="1" si="0"/>
        <v>46328</v>
      </c>
      <c r="AJ7" s="98">
        <f t="shared" ca="1" si="0"/>
        <v>46329</v>
      </c>
      <c r="AK7" s="97">
        <f ca="1">AJ7+1</f>
        <v>46330</v>
      </c>
      <c r="AL7" s="97">
        <f ca="1">AK7+1</f>
        <v>46331</v>
      </c>
      <c r="AM7" s="97">
        <f t="shared" ca="1" si="0"/>
        <v>46332</v>
      </c>
      <c r="AN7" s="97">
        <f t="shared" ca="1" si="0"/>
        <v>46333</v>
      </c>
      <c r="AO7" s="97">
        <f t="shared" ca="1" si="0"/>
        <v>46334</v>
      </c>
      <c r="AP7" s="97">
        <f t="shared" ca="1" si="0"/>
        <v>46335</v>
      </c>
      <c r="AQ7" s="98">
        <f t="shared" ca="1" si="0"/>
        <v>46336</v>
      </c>
      <c r="AR7" s="97">
        <f ca="1">AQ7+1</f>
        <v>46337</v>
      </c>
      <c r="AS7" s="97">
        <f ca="1">AR7+1</f>
        <v>46338</v>
      </c>
      <c r="AT7" s="97">
        <f t="shared" ca="1" si="0"/>
        <v>46339</v>
      </c>
      <c r="AU7" s="97">
        <f t="shared" ca="1" si="0"/>
        <v>46340</v>
      </c>
      <c r="AV7" s="97">
        <f t="shared" ca="1" si="0"/>
        <v>46341</v>
      </c>
      <c r="AW7" s="97">
        <f t="shared" ca="1" si="0"/>
        <v>46342</v>
      </c>
      <c r="AX7" s="98">
        <f t="shared" ca="1" si="0"/>
        <v>46343</v>
      </c>
      <c r="AY7" s="97">
        <f ca="1">AX7+1</f>
        <v>46344</v>
      </c>
      <c r="AZ7" s="97">
        <f ca="1">AY7+1</f>
        <v>46345</v>
      </c>
      <c r="BA7" s="97">
        <f t="shared" ref="BA7:BE7" ca="1" si="1">AZ7+1</f>
        <v>46346</v>
      </c>
      <c r="BB7" s="97">
        <f t="shared" ca="1" si="1"/>
        <v>46347</v>
      </c>
      <c r="BC7" s="97">
        <f t="shared" ca="1" si="1"/>
        <v>46348</v>
      </c>
      <c r="BD7" s="97">
        <f t="shared" ca="1" si="1"/>
        <v>46349</v>
      </c>
      <c r="BE7" s="98">
        <f t="shared" ca="1" si="1"/>
        <v>46350</v>
      </c>
      <c r="BF7" s="97">
        <f ca="1">BE7+1</f>
        <v>46351</v>
      </c>
      <c r="BG7" s="97">
        <f ca="1">BF7+1</f>
        <v>46352</v>
      </c>
      <c r="BH7" s="97">
        <f t="shared" ref="BH7:BL7" ca="1" si="2">BG7+1</f>
        <v>46353</v>
      </c>
      <c r="BI7" s="97">
        <f t="shared" ca="1" si="2"/>
        <v>46354</v>
      </c>
      <c r="BJ7" s="97">
        <f t="shared" ca="1" si="2"/>
        <v>46355</v>
      </c>
      <c r="BK7" s="97">
        <f t="shared" ca="1" si="2"/>
        <v>46356</v>
      </c>
      <c r="BL7" s="98">
        <f t="shared" ca="1" si="2"/>
        <v>46357</v>
      </c>
    </row>
    <row r="8" spans="1:68" ht="20" customHeight="1" x14ac:dyDescent="0.35">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 customHeight="1" x14ac:dyDescent="0.35">
      <c r="A9" s="10"/>
      <c r="B9" s="120" t="s">
        <v>18</v>
      </c>
      <c r="C9" s="121" t="s">
        <v>6</v>
      </c>
      <c r="D9" s="121" t="s">
        <v>19</v>
      </c>
      <c r="E9" s="121" t="s">
        <v>9</v>
      </c>
      <c r="F9" s="121" t="s">
        <v>10</v>
      </c>
      <c r="G9" s="121" t="s">
        <v>20</v>
      </c>
      <c r="H9" s="86"/>
      <c r="I9" s="104" t="str">
        <f t="shared" ref="I9:BL9" ca="1" si="3">LEFT(TEXT(I7,"ddd"),1)</f>
        <v>W</v>
      </c>
      <c r="J9" s="104" t="str">
        <f t="shared" ca="1" si="3"/>
        <v>T</v>
      </c>
      <c r="K9" s="104" t="str">
        <f t="shared" ca="1" si="3"/>
        <v>F</v>
      </c>
      <c r="L9" s="104" t="str">
        <f t="shared" ca="1" si="3"/>
        <v>S</v>
      </c>
      <c r="M9" s="104" t="str">
        <f t="shared" ca="1" si="3"/>
        <v>S</v>
      </c>
      <c r="N9" s="104" t="str">
        <f t="shared" ca="1" si="3"/>
        <v>M</v>
      </c>
      <c r="O9" s="104" t="str">
        <f t="shared" ca="1" si="3"/>
        <v>T</v>
      </c>
      <c r="P9" s="104" t="str">
        <f t="shared" ca="1" si="3"/>
        <v>W</v>
      </c>
      <c r="Q9" s="104" t="str">
        <f t="shared" ca="1" si="3"/>
        <v>T</v>
      </c>
      <c r="R9" s="104" t="str">
        <f t="shared" ca="1" si="3"/>
        <v>F</v>
      </c>
      <c r="S9" s="104" t="str">
        <f t="shared" ca="1" si="3"/>
        <v>S</v>
      </c>
      <c r="T9" s="104" t="str">
        <f t="shared" ca="1" si="3"/>
        <v>S</v>
      </c>
      <c r="U9" s="104" t="str">
        <f t="shared" ca="1" si="3"/>
        <v>M</v>
      </c>
      <c r="V9" s="104" t="str">
        <f t="shared" ca="1" si="3"/>
        <v>T</v>
      </c>
      <c r="W9" s="104" t="str">
        <f t="shared" ca="1" si="3"/>
        <v>W</v>
      </c>
      <c r="X9" s="104" t="str">
        <f t="shared" ca="1" si="3"/>
        <v>T</v>
      </c>
      <c r="Y9" s="104" t="str">
        <f t="shared" ca="1" si="3"/>
        <v>F</v>
      </c>
      <c r="Z9" s="104" t="str">
        <f t="shared" ca="1" si="3"/>
        <v>S</v>
      </c>
      <c r="AA9" s="104" t="str">
        <f t="shared" ca="1" si="3"/>
        <v>S</v>
      </c>
      <c r="AB9" s="104" t="str">
        <f t="shared" ca="1" si="3"/>
        <v>M</v>
      </c>
      <c r="AC9" s="104" t="str">
        <f t="shared" ca="1" si="3"/>
        <v>T</v>
      </c>
      <c r="AD9" s="104" t="str">
        <f t="shared" ca="1" si="3"/>
        <v>W</v>
      </c>
      <c r="AE9" s="104" t="str">
        <f t="shared" ca="1" si="3"/>
        <v>T</v>
      </c>
      <c r="AF9" s="104" t="str">
        <f t="shared" ca="1" si="3"/>
        <v>F</v>
      </c>
      <c r="AG9" s="104" t="str">
        <f t="shared" ca="1" si="3"/>
        <v>S</v>
      </c>
      <c r="AH9" s="104" t="str">
        <f t="shared" ca="1" si="3"/>
        <v>S</v>
      </c>
      <c r="AI9" s="104" t="str">
        <f t="shared" ca="1" si="3"/>
        <v>M</v>
      </c>
      <c r="AJ9" s="104" t="str">
        <f t="shared" ca="1" si="3"/>
        <v>T</v>
      </c>
      <c r="AK9" s="104" t="str">
        <f t="shared" ca="1" si="3"/>
        <v>W</v>
      </c>
      <c r="AL9" s="104" t="str">
        <f t="shared" ca="1" si="3"/>
        <v>T</v>
      </c>
      <c r="AM9" s="104" t="str">
        <f t="shared" ca="1" si="3"/>
        <v>F</v>
      </c>
      <c r="AN9" s="104" t="str">
        <f t="shared" ca="1" si="3"/>
        <v>S</v>
      </c>
      <c r="AO9" s="104" t="str">
        <f t="shared" ca="1" si="3"/>
        <v>S</v>
      </c>
      <c r="AP9" s="104" t="str">
        <f t="shared" ca="1" si="3"/>
        <v>M</v>
      </c>
      <c r="AQ9" s="104" t="str">
        <f t="shared" ca="1" si="3"/>
        <v>T</v>
      </c>
      <c r="AR9" s="104" t="str">
        <f t="shared" ca="1" si="3"/>
        <v>W</v>
      </c>
      <c r="AS9" s="104" t="str">
        <f t="shared" ca="1" si="3"/>
        <v>T</v>
      </c>
      <c r="AT9" s="104" t="str">
        <f t="shared" ca="1" si="3"/>
        <v>F</v>
      </c>
      <c r="AU9" s="104" t="str">
        <f t="shared" ca="1" si="3"/>
        <v>S</v>
      </c>
      <c r="AV9" s="104" t="str">
        <f t="shared" ca="1" si="3"/>
        <v>S</v>
      </c>
      <c r="AW9" s="104" t="str">
        <f t="shared" ca="1" si="3"/>
        <v>M</v>
      </c>
      <c r="AX9" s="104" t="str">
        <f t="shared" ca="1" si="3"/>
        <v>T</v>
      </c>
      <c r="AY9" s="104" t="str">
        <f t="shared" ca="1" si="3"/>
        <v>W</v>
      </c>
      <c r="AZ9" s="104" t="str">
        <f t="shared" ca="1" si="3"/>
        <v>T</v>
      </c>
      <c r="BA9" s="104" t="str">
        <f t="shared" ca="1" si="3"/>
        <v>F</v>
      </c>
      <c r="BB9" s="104" t="str">
        <f t="shared" ca="1" si="3"/>
        <v>S</v>
      </c>
      <c r="BC9" s="104" t="str">
        <f t="shared" ca="1" si="3"/>
        <v>S</v>
      </c>
      <c r="BD9" s="104" t="str">
        <f t="shared" ca="1" si="3"/>
        <v>M</v>
      </c>
      <c r="BE9" s="104" t="str">
        <f t="shared" ca="1" si="3"/>
        <v>T</v>
      </c>
      <c r="BF9" s="104" t="str">
        <f t="shared" ca="1" si="3"/>
        <v>W</v>
      </c>
      <c r="BG9" s="104" t="str">
        <f t="shared" ca="1" si="3"/>
        <v>T</v>
      </c>
      <c r="BH9" s="104" t="str">
        <f t="shared" ca="1" si="3"/>
        <v>F</v>
      </c>
      <c r="BI9" s="104" t="str">
        <f t="shared" ca="1" si="3"/>
        <v>S</v>
      </c>
      <c r="BJ9" s="104" t="str">
        <f t="shared" ca="1" si="3"/>
        <v>S</v>
      </c>
      <c r="BK9" s="104" t="str">
        <f t="shared" ca="1" si="3"/>
        <v>M</v>
      </c>
      <c r="BL9" s="104" t="str">
        <f t="shared" ca="1" si="3"/>
        <v>T</v>
      </c>
    </row>
    <row r="10" spans="1:68" ht="30" hidden="1" customHeight="1" thickBot="1" x14ac:dyDescent="0.4">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35">
      <c r="A11" s="10"/>
      <c r="B11" s="114" t="s">
        <v>25</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35">
      <c r="A12" s="10"/>
      <c r="B12" s="61" t="s">
        <v>3</v>
      </c>
      <c r="C12" s="57" t="s">
        <v>7</v>
      </c>
      <c r="D12" s="57" t="s">
        <v>5</v>
      </c>
      <c r="E12" s="58">
        <v>0.25</v>
      </c>
      <c r="F12" s="59">
        <f ca="1">TODAY()</f>
        <v>46297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35">
      <c r="A13" s="10"/>
      <c r="B13" s="61" t="s">
        <v>4</v>
      </c>
      <c r="C13" s="57" t="s">
        <v>8</v>
      </c>
      <c r="D13" s="57"/>
      <c r="E13" s="58"/>
      <c r="F13" s="59">
        <f ca="1">TODAY()+5</f>
        <v>46302</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35">
      <c r="A14" s="9"/>
      <c r="B14" s="61" t="s">
        <v>0</v>
      </c>
      <c r="C14" s="57" t="s">
        <v>12</v>
      </c>
      <c r="D14" s="57"/>
      <c r="E14" s="58">
        <v>0.5</v>
      </c>
      <c r="F14" s="59">
        <f ca="1">F12-3</f>
        <v>46294</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35">
      <c r="A15" s="9"/>
      <c r="B15" s="61" t="s">
        <v>1</v>
      </c>
      <c r="C15" s="57" t="s">
        <v>8</v>
      </c>
      <c r="D15" s="57"/>
      <c r="E15" s="58"/>
      <c r="F15" s="59">
        <f ca="1">F12+20</f>
        <v>46317</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35">
      <c r="A16" s="9"/>
      <c r="B16" s="61" t="s">
        <v>2</v>
      </c>
      <c r="C16" s="57" t="s">
        <v>11</v>
      </c>
      <c r="D16" s="57"/>
      <c r="E16" s="58">
        <v>0.1</v>
      </c>
      <c r="F16" s="59">
        <f ca="1">F12+6</f>
        <v>46303</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35">
      <c r="A17" s="10"/>
      <c r="B17" s="114" t="s">
        <v>26</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35">
      <c r="A18" s="10"/>
      <c r="B18" s="61" t="s">
        <v>3</v>
      </c>
      <c r="C18" s="57" t="s">
        <v>13</v>
      </c>
      <c r="D18" s="57"/>
      <c r="E18" s="58">
        <v>0.6</v>
      </c>
      <c r="F18" s="59">
        <f ca="1">F12+6</f>
        <v>46303</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35">
      <c r="A19" s="9"/>
      <c r="B19" s="61" t="s">
        <v>4</v>
      </c>
      <c r="C19" s="57" t="s">
        <v>14</v>
      </c>
      <c r="D19" s="57"/>
      <c r="E19" s="58">
        <v>0.5</v>
      </c>
      <c r="F19" s="59">
        <f ca="1">F18+2</f>
        <v>46305</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35">
      <c r="A20" s="9"/>
      <c r="B20" s="61" t="s">
        <v>0</v>
      </c>
      <c r="C20" s="57" t="s">
        <v>12</v>
      </c>
      <c r="D20" s="57"/>
      <c r="E20" s="58">
        <v>0.33</v>
      </c>
      <c r="F20" s="59">
        <f ca="1">F19+5</f>
        <v>46310</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35">
      <c r="A21" s="9"/>
      <c r="B21" s="61" t="s">
        <v>1</v>
      </c>
      <c r="C21" s="57" t="s">
        <v>8</v>
      </c>
      <c r="D21" s="57"/>
      <c r="E21" s="58"/>
      <c r="F21" s="59">
        <f ca="1">F20+2</f>
        <v>46312</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35">
      <c r="A22" s="9"/>
      <c r="B22" s="61" t="s">
        <v>2</v>
      </c>
      <c r="C22" s="57"/>
      <c r="D22" s="57"/>
      <c r="E22" s="58"/>
      <c r="F22" s="59">
        <f ca="1">F21+1</f>
        <v>46313</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35">
      <c r="A23" s="9"/>
      <c r="B23" s="114" t="s">
        <v>27</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35">
      <c r="A24" s="9"/>
      <c r="B24" s="61" t="s">
        <v>3</v>
      </c>
      <c r="C24" s="57" t="s">
        <v>14</v>
      </c>
      <c r="D24" s="57"/>
      <c r="E24" s="58"/>
      <c r="F24" s="59">
        <f ca="1">F12+15</f>
        <v>46312</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35">
      <c r="A25" s="9"/>
      <c r="B25" s="61" t="s">
        <v>4</v>
      </c>
      <c r="C25" s="57" t="s">
        <v>11</v>
      </c>
      <c r="D25" s="57"/>
      <c r="E25" s="58"/>
      <c r="F25" s="59">
        <f ca="1">F24+3</f>
        <v>46315</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35">
      <c r="A26" s="9"/>
      <c r="B26" s="61" t="s">
        <v>0</v>
      </c>
      <c r="C26" s="57" t="s">
        <v>14</v>
      </c>
      <c r="D26" s="57"/>
      <c r="E26" s="58"/>
      <c r="F26" s="59">
        <f ca="1">F25+15</f>
        <v>46330</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35">
      <c r="A27" s="9"/>
      <c r="B27" s="61" t="s">
        <v>1</v>
      </c>
      <c r="C27" s="57" t="s">
        <v>7</v>
      </c>
      <c r="D27" s="57"/>
      <c r="E27" s="58"/>
      <c r="F27" s="59">
        <f ca="1">F21+22</f>
        <v>46334</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35">
      <c r="A28" s="9"/>
      <c r="B28" s="61" t="s">
        <v>2</v>
      </c>
      <c r="C28" s="57" t="s">
        <v>12</v>
      </c>
      <c r="D28" s="57"/>
      <c r="E28" s="58"/>
      <c r="F28" s="59">
        <f ca="1">F16</f>
        <v>46303</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35">
      <c r="A29" s="9"/>
      <c r="B29" s="114" t="s">
        <v>28</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35">
      <c r="A30" s="9"/>
      <c r="B30" s="61" t="s">
        <v>3</v>
      </c>
      <c r="C30" s="57"/>
      <c r="D30" s="57"/>
      <c r="E30" s="58"/>
      <c r="F30" s="59">
        <f ca="1">F27+3</f>
        <v>46337</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35">
      <c r="A31" s="9"/>
      <c r="B31" s="61" t="s">
        <v>4</v>
      </c>
      <c r="C31" s="57"/>
      <c r="D31" s="57"/>
      <c r="E31" s="58"/>
      <c r="F31" s="59">
        <f ca="1">F30+14</f>
        <v>46351</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35">
      <c r="A32" s="9"/>
      <c r="B32" s="61" t="s">
        <v>0</v>
      </c>
      <c r="C32" s="57" t="s">
        <v>8</v>
      </c>
      <c r="D32" s="57"/>
      <c r="E32" s="58"/>
      <c r="F32" s="59">
        <f ca="1">F31+42</f>
        <v>46393</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35">
      <c r="A33" s="9"/>
      <c r="B33" s="61" t="s">
        <v>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35">
      <c r="A34" s="9"/>
      <c r="B34" s="61" t="s">
        <v>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35">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 customHeight="1" x14ac:dyDescent="0.35">
      <c r="A36" s="10"/>
      <c r="B36" s="116" t="s">
        <v>17</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31750</xdr:colOff>
                    <xdr:row>7</xdr:row>
                    <xdr:rowOff>63500</xdr:rowOff>
                  </from>
                  <to>
                    <xdr:col>63</xdr:col>
                    <xdr:colOff>228600</xdr:colOff>
                    <xdr:row>7</xdr:row>
                    <xdr:rowOff>234950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2.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2026-10-02T08:29:22Z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